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72" tabRatio="961"/>
  </bookViews>
  <sheets>
    <sheet name="Final Att." sheetId="21" r:id="rId1"/>
    <sheet name="12054-53" sheetId="3" r:id="rId2"/>
    <sheet name="12422-21" sheetId="1" r:id="rId3"/>
    <sheet name="14680-79" sheetId="2" r:id="rId4"/>
    <sheet name="22488-87" sheetId="4" r:id="rId5"/>
    <sheet name="14650-49" sheetId="5" r:id="rId6"/>
    <sheet name="14674-73" sheetId="7" r:id="rId7"/>
    <sheet name="12204-03" sheetId="6" r:id="rId8"/>
    <sheet name="04654-53" sheetId="10" r:id="rId9"/>
    <sheet name="04651-52" sheetId="9" r:id="rId10"/>
    <sheet name="14616-15" sheetId="8" r:id="rId11"/>
    <sheet name="14628-27" sheetId="14" r:id="rId12"/>
    <sheet name="12484-83" sheetId="17" r:id="rId13"/>
    <sheet name="04610-09" sheetId="16" r:id="rId14"/>
    <sheet name="04624-23" sheetId="19" r:id="rId15"/>
    <sheet name="14632-31" sheetId="22" r:id="rId16"/>
    <sheet name="14664-63" sheetId="18" r:id="rId17"/>
    <sheet name="OBHS Staff" sheetId="20" r:id="rId18"/>
    <sheet name="Summary" sheetId="15" r:id="rId19"/>
    <sheet name="Sheet1" sheetId="23" r:id="rId20"/>
  </sheets>
  <definedNames>
    <definedName name="_xlnm._FilterDatabase" localSheetId="9" hidden="1">'04651-52'!#REF!</definedName>
    <definedName name="_xlnm._FilterDatabase" localSheetId="8" hidden="1">'04654-53'!#REF!</definedName>
    <definedName name="_xlnm._FilterDatabase" localSheetId="1" hidden="1">'12054-53'!#REF!</definedName>
    <definedName name="_xlnm._FilterDatabase" localSheetId="7" hidden="1">'12204-03'!$B$2:$AN$24</definedName>
    <definedName name="_xlnm._FilterDatabase" localSheetId="10" hidden="1">'14616-15'!#REF!</definedName>
    <definedName name="_xlnm._FilterDatabase" localSheetId="11" hidden="1">'14628-27'!#REF!</definedName>
    <definedName name="_xlnm._FilterDatabase" localSheetId="15" hidden="1">'14632-31'!$B$2:$AN$29</definedName>
    <definedName name="_xlnm._FilterDatabase" localSheetId="5" hidden="1">'14650-49'!#REF!</definedName>
    <definedName name="_xlnm._FilterDatabase" localSheetId="6" hidden="1">'14674-73'!#REF!</definedName>
    <definedName name="_xlnm._FilterDatabase" localSheetId="3" hidden="1">'14680-79'!#REF!</definedName>
    <definedName name="_xlnm._FilterDatabase" localSheetId="4" hidden="1">'22488-87'!#REF!</definedName>
    <definedName name="_xlnm._FilterDatabase" localSheetId="0" hidden="1">'Final Att.'!$C$2:$AJ$248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49" i="21" l="1"/>
  <c r="AL249" i="21"/>
  <c r="AL15" i="21"/>
  <c r="AJ248" i="21"/>
  <c r="AJ3" i="2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9" i="21" l="1"/>
  <c r="AM8" i="20"/>
  <c r="AM9" i="20"/>
  <c r="AK5" i="20" l="1"/>
  <c r="AM5" i="20" s="1"/>
  <c r="AK6" i="20"/>
  <c r="AM6" i="20" s="1"/>
  <c r="AK7" i="20"/>
  <c r="AM7" i="20" s="1"/>
  <c r="AK8" i="20"/>
  <c r="AK9" i="20"/>
  <c r="AK10" i="20"/>
  <c r="AM10" i="20" s="1"/>
  <c r="AL10" i="20"/>
  <c r="AL7" i="20"/>
  <c r="AL8" i="20"/>
  <c r="AL9" i="20"/>
  <c r="AL6" i="20"/>
  <c r="AL5" i="20"/>
  <c r="AL4" i="20"/>
  <c r="AO6" i="18" l="1"/>
  <c r="AO7" i="18"/>
  <c r="AO8" i="18"/>
  <c r="AO9" i="18"/>
  <c r="AO10" i="18"/>
  <c r="AO11" i="18"/>
  <c r="AO12" i="18"/>
  <c r="AO13" i="18"/>
  <c r="AO14" i="18"/>
  <c r="AO15" i="18"/>
  <c r="AO16" i="18"/>
  <c r="AO17" i="18"/>
  <c r="AO18" i="18"/>
  <c r="AO19" i="18"/>
  <c r="AO20" i="18"/>
  <c r="AO21" i="18"/>
  <c r="AO22" i="18"/>
  <c r="AO23" i="18"/>
  <c r="AO24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AJ25" i="18"/>
  <c r="AK25" i="18"/>
  <c r="AL25" i="18"/>
  <c r="H25" i="18"/>
  <c r="I56" i="22"/>
  <c r="J56" i="22"/>
  <c r="K56" i="22"/>
  <c r="L56" i="22"/>
  <c r="M56" i="22"/>
  <c r="N56" i="22"/>
  <c r="O56" i="22"/>
  <c r="P56" i="22"/>
  <c r="Q56" i="22"/>
  <c r="R56" i="22"/>
  <c r="S56" i="22"/>
  <c r="T56" i="22"/>
  <c r="U56" i="22"/>
  <c r="V56" i="22"/>
  <c r="W56" i="22"/>
  <c r="X56" i="22"/>
  <c r="Y56" i="22"/>
  <c r="Z56" i="22"/>
  <c r="AA56" i="22"/>
  <c r="AB56" i="22"/>
  <c r="AC56" i="22"/>
  <c r="AD56" i="22"/>
  <c r="AE56" i="22"/>
  <c r="AF56" i="22"/>
  <c r="AG56" i="22"/>
  <c r="AH56" i="22"/>
  <c r="AI56" i="22"/>
  <c r="AJ56" i="22"/>
  <c r="AK56" i="22"/>
  <c r="H56" i="22"/>
  <c r="AM6" i="18"/>
  <c r="AM7" i="18"/>
  <c r="AM8" i="18"/>
  <c r="AM9" i="18"/>
  <c r="AM10" i="18"/>
  <c r="AM11" i="18"/>
  <c r="AM12" i="18"/>
  <c r="AM13" i="18"/>
  <c r="AM14" i="18"/>
  <c r="AM15" i="18"/>
  <c r="AM16" i="18"/>
  <c r="AM17" i="18"/>
  <c r="AM18" i="18"/>
  <c r="AM19" i="18"/>
  <c r="AM20" i="18"/>
  <c r="AM21" i="18"/>
  <c r="AM22" i="18"/>
  <c r="AM23" i="18"/>
  <c r="AM24" i="18"/>
  <c r="AM5" i="18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AH29" i="22"/>
  <c r="AI29" i="22"/>
  <c r="AJ29" i="22"/>
  <c r="AK29" i="22"/>
  <c r="H29" i="22"/>
  <c r="AL6" i="22"/>
  <c r="AN6" i="22" s="1"/>
  <c r="AL7" i="22"/>
  <c r="AL8" i="22"/>
  <c r="AL9" i="22"/>
  <c r="AL10" i="22"/>
  <c r="AL11" i="22"/>
  <c r="AL12" i="22"/>
  <c r="AL13" i="22"/>
  <c r="AN13" i="22" s="1"/>
  <c r="AL14" i="22"/>
  <c r="AN14" i="22" s="1"/>
  <c r="AL15" i="22"/>
  <c r="AN15" i="22" s="1"/>
  <c r="AL16" i="22"/>
  <c r="AL17" i="22"/>
  <c r="AN17" i="22" s="1"/>
  <c r="AL18" i="22"/>
  <c r="AN18" i="22" s="1"/>
  <c r="AL19" i="22"/>
  <c r="AN19" i="22" s="1"/>
  <c r="AL20" i="22"/>
  <c r="AN20" i="22" s="1"/>
  <c r="AL21" i="22"/>
  <c r="AN21" i="22" s="1"/>
  <c r="AL22" i="22"/>
  <c r="AN22" i="22" s="1"/>
  <c r="AL23" i="22"/>
  <c r="AN23" i="22" s="1"/>
  <c r="AL24" i="22"/>
  <c r="AN24" i="22" s="1"/>
  <c r="AL25" i="22"/>
  <c r="AN25" i="22" s="1"/>
  <c r="AL26" i="22"/>
  <c r="AL27" i="22"/>
  <c r="AN27" i="22" s="1"/>
  <c r="AL28" i="22"/>
  <c r="AN7" i="22"/>
  <c r="AN8" i="22"/>
  <c r="AN9" i="22"/>
  <c r="AN10" i="22"/>
  <c r="AN11" i="22"/>
  <c r="AN12" i="22"/>
  <c r="AN16" i="22"/>
  <c r="AN26" i="22"/>
  <c r="AN28" i="22"/>
  <c r="AN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0" i="19"/>
  <c r="AN21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H22" i="19"/>
  <c r="AL6" i="19"/>
  <c r="AL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H25" i="16"/>
  <c r="AL6" i="16"/>
  <c r="AL7" i="16"/>
  <c r="AL8" i="16"/>
  <c r="AL9" i="16"/>
  <c r="AL10" i="16"/>
  <c r="AL11" i="16"/>
  <c r="AL12" i="16"/>
  <c r="AL13" i="16"/>
  <c r="AL14" i="16"/>
  <c r="AL15" i="16"/>
  <c r="AL16" i="16"/>
  <c r="AL17" i="16"/>
  <c r="AL18" i="16"/>
  <c r="AL19" i="16"/>
  <c r="AL20" i="16"/>
  <c r="AL21" i="16"/>
  <c r="AL22" i="16"/>
  <c r="AL23" i="16"/>
  <c r="AL24" i="16"/>
  <c r="AL5" i="16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H19" i="17"/>
  <c r="AL6" i="17"/>
  <c r="AL7" i="17"/>
  <c r="AL8" i="17"/>
  <c r="AN8" i="17" s="1"/>
  <c r="AL9" i="17"/>
  <c r="AL10" i="17"/>
  <c r="AN10" i="17" s="1"/>
  <c r="AL11" i="17"/>
  <c r="AN11" i="17" s="1"/>
  <c r="AL12" i="17"/>
  <c r="AN12" i="17" s="1"/>
  <c r="AL13" i="17"/>
  <c r="AN13" i="17" s="1"/>
  <c r="AL14" i="17"/>
  <c r="AN14" i="17" s="1"/>
  <c r="AL15" i="17"/>
  <c r="AN15" i="17" s="1"/>
  <c r="AL16" i="17"/>
  <c r="AL17" i="17"/>
  <c r="AL18" i="17"/>
  <c r="AL5" i="17"/>
  <c r="AN6" i="17"/>
  <c r="AN7" i="17"/>
  <c r="AN9" i="17"/>
  <c r="AN16" i="17"/>
  <c r="AN17" i="17"/>
  <c r="AN18" i="17"/>
  <c r="AN6" i="14"/>
  <c r="AN7" i="14"/>
  <c r="AN8" i="14"/>
  <c r="AN9" i="14"/>
  <c r="AN10" i="14"/>
  <c r="AN11" i="14"/>
  <c r="AN12" i="14"/>
  <c r="AN13" i="14"/>
  <c r="AN14" i="14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H31" i="14"/>
  <c r="AL6" i="14"/>
  <c r="AL7" i="14"/>
  <c r="AL8" i="14"/>
  <c r="AL9" i="14"/>
  <c r="AL10" i="14"/>
  <c r="AL11" i="14"/>
  <c r="AL12" i="14"/>
  <c r="AL13" i="14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5" i="14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H15" i="8"/>
  <c r="AM6" i="8"/>
  <c r="AM7" i="8"/>
  <c r="AM8" i="8"/>
  <c r="AO8" i="8" s="1"/>
  <c r="AM9" i="8"/>
  <c r="AO9" i="8" s="1"/>
  <c r="AM10" i="8"/>
  <c r="AO10" i="8" s="1"/>
  <c r="AM11" i="8"/>
  <c r="AO11" i="8" s="1"/>
  <c r="AM12" i="8"/>
  <c r="AO12" i="8" s="1"/>
  <c r="AM13" i="8"/>
  <c r="AO13" i="8" s="1"/>
  <c r="AM14" i="8"/>
  <c r="AO14" i="8" s="1"/>
  <c r="AM5" i="8"/>
  <c r="AO6" i="8"/>
  <c r="AO7" i="8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26" i="9"/>
  <c r="AN26" i="9" s="1"/>
  <c r="AL27" i="9"/>
  <c r="AN27" i="9" s="1"/>
  <c r="AL28" i="9"/>
  <c r="AN28" i="9" s="1"/>
  <c r="AL29" i="9"/>
  <c r="AN29" i="9" s="1"/>
  <c r="AL30" i="9"/>
  <c r="AN30" i="9" s="1"/>
  <c r="AL31" i="9"/>
  <c r="AN31" i="9" s="1"/>
  <c r="AL32" i="9"/>
  <c r="AN32" i="9" s="1"/>
  <c r="AL33" i="9"/>
  <c r="AN33" i="9" s="1"/>
  <c r="AL34" i="9"/>
  <c r="AN34" i="9" s="1"/>
  <c r="AL35" i="9"/>
  <c r="AN35" i="9" s="1"/>
  <c r="AL36" i="9"/>
  <c r="AN36" i="9" s="1"/>
  <c r="AL37" i="9"/>
  <c r="AN37" i="9" s="1"/>
  <c r="AL38" i="9"/>
  <c r="AN38" i="9" s="1"/>
  <c r="AL39" i="9"/>
  <c r="AN39" i="9" s="1"/>
  <c r="AL40" i="9"/>
  <c r="AN40" i="9" s="1"/>
  <c r="AL41" i="9"/>
  <c r="AN41" i="9" s="1"/>
  <c r="AN6" i="9"/>
  <c r="AN13" i="9"/>
  <c r="AN14" i="9"/>
  <c r="AN15" i="9"/>
  <c r="AN16" i="9"/>
  <c r="AM6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6" i="9"/>
  <c r="AL7" i="9"/>
  <c r="AN7" i="9" s="1"/>
  <c r="AL8" i="9"/>
  <c r="AN8" i="9" s="1"/>
  <c r="AL9" i="9"/>
  <c r="AN9" i="9" s="1"/>
  <c r="AL10" i="9"/>
  <c r="AN10" i="9" s="1"/>
  <c r="AL11" i="9"/>
  <c r="AN11" i="9" s="1"/>
  <c r="AL12" i="9"/>
  <c r="AN12" i="9" s="1"/>
  <c r="AL13" i="9"/>
  <c r="AL14" i="9"/>
  <c r="AL15" i="9"/>
  <c r="AL16" i="9"/>
  <c r="AL17" i="9"/>
  <c r="AN17" i="9" s="1"/>
  <c r="AL18" i="9"/>
  <c r="AN18" i="9" s="1"/>
  <c r="AL19" i="9"/>
  <c r="AN19" i="9" s="1"/>
  <c r="AN35" i="6" l="1"/>
  <c r="AN44" i="6"/>
  <c r="AN45" i="6"/>
  <c r="AN50" i="6"/>
  <c r="AN64" i="6"/>
  <c r="AN74" i="6"/>
  <c r="AN75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H76" i="6"/>
  <c r="AL31" i="6"/>
  <c r="AN31" i="6" s="1"/>
  <c r="AL32" i="6"/>
  <c r="AN32" i="6" s="1"/>
  <c r="AL33" i="6"/>
  <c r="AN33" i="6" s="1"/>
  <c r="AL34" i="6"/>
  <c r="AN34" i="6" s="1"/>
  <c r="AL35" i="6"/>
  <c r="AL36" i="6"/>
  <c r="AN36" i="6" s="1"/>
  <c r="AL37" i="6"/>
  <c r="AN37" i="6" s="1"/>
  <c r="AL38" i="6"/>
  <c r="AN38" i="6" s="1"/>
  <c r="AL39" i="6"/>
  <c r="AN39" i="6" s="1"/>
  <c r="AL40" i="6"/>
  <c r="AN40" i="6" s="1"/>
  <c r="AL41" i="6"/>
  <c r="AN41" i="6" s="1"/>
  <c r="AL42" i="6"/>
  <c r="AN42" i="6" s="1"/>
  <c r="AL43" i="6"/>
  <c r="AN43" i="6" s="1"/>
  <c r="AL44" i="6"/>
  <c r="AL45" i="6"/>
  <c r="AL46" i="6"/>
  <c r="AN46" i="6" s="1"/>
  <c r="AL47" i="6"/>
  <c r="AN47" i="6" s="1"/>
  <c r="AL48" i="6"/>
  <c r="AN48" i="6" s="1"/>
  <c r="AL49" i="6"/>
  <c r="AN49" i="6" s="1"/>
  <c r="AL50" i="6"/>
  <c r="AL51" i="6"/>
  <c r="AN51" i="6" s="1"/>
  <c r="AL52" i="6"/>
  <c r="AN52" i="6" s="1"/>
  <c r="AL53" i="6"/>
  <c r="AN53" i="6" s="1"/>
  <c r="AL54" i="6"/>
  <c r="AN54" i="6" s="1"/>
  <c r="AL55" i="6"/>
  <c r="AN55" i="6" s="1"/>
  <c r="AL56" i="6"/>
  <c r="AN56" i="6" s="1"/>
  <c r="AL57" i="6"/>
  <c r="AN57" i="6" s="1"/>
  <c r="AL58" i="6"/>
  <c r="AN58" i="6" s="1"/>
  <c r="AL59" i="6"/>
  <c r="AN59" i="6" s="1"/>
  <c r="AL60" i="6"/>
  <c r="AN60" i="6" s="1"/>
  <c r="AL61" i="6"/>
  <c r="AN61" i="6" s="1"/>
  <c r="AL62" i="6"/>
  <c r="AN62" i="6" s="1"/>
  <c r="AL63" i="6"/>
  <c r="AN63" i="6" s="1"/>
  <c r="AL64" i="6"/>
  <c r="AL65" i="6"/>
  <c r="AN65" i="6" s="1"/>
  <c r="AL66" i="6"/>
  <c r="AN66" i="6" s="1"/>
  <c r="AL67" i="6"/>
  <c r="AN67" i="6" s="1"/>
  <c r="AL68" i="6"/>
  <c r="AN68" i="6" s="1"/>
  <c r="AL69" i="6"/>
  <c r="AN69" i="6" s="1"/>
  <c r="AL70" i="6"/>
  <c r="AN70" i="6" s="1"/>
  <c r="AL71" i="6"/>
  <c r="AN71" i="6" s="1"/>
  <c r="AL72" i="6"/>
  <c r="AN72" i="6" s="1"/>
  <c r="AL73" i="6"/>
  <c r="AN73" i="6" s="1"/>
  <c r="AL74" i="6"/>
  <c r="AL75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H65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H32" i="7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H55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H19" i="4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H52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H17" i="1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H24" i="3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38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5" i="7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33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5" i="5"/>
  <c r="AN7" i="4"/>
  <c r="AL7" i="4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29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5" i="2"/>
  <c r="AL6" i="1"/>
  <c r="AL7" i="1"/>
  <c r="AL8" i="1"/>
  <c r="AL9" i="1"/>
  <c r="AL10" i="1"/>
  <c r="AL11" i="1"/>
  <c r="AL12" i="1"/>
  <c r="AL13" i="1"/>
  <c r="AL14" i="1"/>
  <c r="AL15" i="1"/>
  <c r="AL16" i="1"/>
  <c r="AL5" i="1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5" i="3"/>
  <c r="AL6" i="4"/>
  <c r="AL8" i="4"/>
  <c r="AL9" i="4"/>
  <c r="AL10" i="4"/>
  <c r="AL11" i="4"/>
  <c r="AL12" i="4"/>
  <c r="AL13" i="4"/>
  <c r="AL14" i="4"/>
  <c r="AL15" i="4"/>
  <c r="AL16" i="4"/>
  <c r="AL17" i="4"/>
  <c r="AL18" i="4"/>
  <c r="AL5" i="4"/>
  <c r="AN30" i="2" l="1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6" i="1"/>
  <c r="AN7" i="1"/>
  <c r="AN8" i="1"/>
  <c r="AN9" i="1"/>
  <c r="AN10" i="1"/>
  <c r="AN11" i="1"/>
  <c r="AN12" i="1"/>
  <c r="AN13" i="1"/>
  <c r="AN14" i="1"/>
  <c r="AN15" i="1"/>
  <c r="AN16" i="1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8" i="16" l="1"/>
  <c r="AN9" i="16"/>
  <c r="AN10" i="16"/>
  <c r="AN11" i="16"/>
  <c r="AN12" i="16"/>
  <c r="AN13" i="16"/>
  <c r="AN14" i="16"/>
  <c r="AN15" i="16"/>
  <c r="AN16" i="16"/>
  <c r="AN17" i="16"/>
  <c r="AN18" i="16"/>
  <c r="AN19" i="16"/>
  <c r="AN20" i="16"/>
  <c r="AN21" i="16"/>
  <c r="AN22" i="16"/>
  <c r="AN23" i="16"/>
  <c r="AN5" i="16"/>
  <c r="AL36" i="22" l="1"/>
  <c r="AN36" i="22" s="1"/>
  <c r="AL37" i="22"/>
  <c r="AN37" i="22" s="1"/>
  <c r="AL38" i="22"/>
  <c r="AN38" i="22" s="1"/>
  <c r="AL39" i="22"/>
  <c r="AN39" i="22" s="1"/>
  <c r="AL40" i="22"/>
  <c r="AN40" i="22" s="1"/>
  <c r="AL41" i="22"/>
  <c r="AN41" i="22" s="1"/>
  <c r="AL42" i="22"/>
  <c r="AN42" i="22" s="1"/>
  <c r="AL43" i="22"/>
  <c r="AN43" i="22" s="1"/>
  <c r="AL44" i="22"/>
  <c r="AN44" i="22" s="1"/>
  <c r="AL45" i="22"/>
  <c r="AN45" i="22" s="1"/>
  <c r="AL46" i="22"/>
  <c r="AN46" i="22" s="1"/>
  <c r="AL47" i="22"/>
  <c r="AN47" i="22" s="1"/>
  <c r="AL48" i="22"/>
  <c r="AN48" i="22" s="1"/>
  <c r="AL49" i="22"/>
  <c r="AN49" i="22" s="1"/>
  <c r="AL50" i="22"/>
  <c r="AN50" i="22" s="1"/>
  <c r="AL51" i="22"/>
  <c r="AN51" i="22" s="1"/>
  <c r="AL52" i="22"/>
  <c r="AN52" i="22" s="1"/>
  <c r="AL53" i="22"/>
  <c r="AN53" i="22" s="1"/>
  <c r="AL54" i="22"/>
  <c r="AN54" i="22" s="1"/>
  <c r="AL55" i="22"/>
  <c r="AN55" i="22" s="1"/>
  <c r="AL5" i="19"/>
  <c r="AN19" i="7" l="1"/>
  <c r="AN20" i="7"/>
  <c r="AN21" i="7"/>
  <c r="AN22" i="7"/>
  <c r="AN45" i="7"/>
  <c r="AN46" i="7"/>
  <c r="AN47" i="7"/>
  <c r="AN48" i="7"/>
  <c r="AN49" i="7"/>
  <c r="AN51" i="7"/>
  <c r="AN52" i="7"/>
  <c r="AN53" i="7"/>
  <c r="AN54" i="7"/>
  <c r="AN55" i="7"/>
  <c r="AN56" i="7"/>
  <c r="AN57" i="7"/>
  <c r="AN58" i="7"/>
  <c r="AN59" i="7"/>
  <c r="AN50" i="7"/>
  <c r="AL25" i="9"/>
  <c r="AL35" i="22" l="1"/>
  <c r="AL5" i="22"/>
  <c r="AL56" i="22" l="1"/>
  <c r="AN35" i="22"/>
  <c r="AN56" i="22" s="1"/>
  <c r="AL29" i="22"/>
  <c r="AN5" i="22"/>
  <c r="AN29" i="22" s="1"/>
  <c r="AN59" i="22" s="1"/>
  <c r="H11" i="20" l="1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G11" i="20"/>
  <c r="AK4" i="20" l="1"/>
  <c r="AM4" i="20" s="1"/>
  <c r="AK11" i="20" l="1"/>
  <c r="F24" i="15" s="1"/>
  <c r="AM11" i="20"/>
  <c r="G24" i="15" s="1"/>
  <c r="H42" i="9"/>
  <c r="H20" i="9"/>
  <c r="AN14" i="6"/>
  <c r="AN15" i="6"/>
  <c r="AN16" i="6"/>
  <c r="AN17" i="6"/>
  <c r="AN18" i="6"/>
  <c r="AN19" i="6"/>
  <c r="AN20" i="6"/>
  <c r="AN21" i="6"/>
  <c r="AN22" i="6"/>
  <c r="H27" i="5"/>
  <c r="H24" i="6"/>
  <c r="AN5" i="19" l="1"/>
  <c r="AN25" i="9"/>
  <c r="AL5" i="9"/>
  <c r="AN5" i="9" s="1"/>
  <c r="AN42" i="9" l="1"/>
  <c r="G17" i="15" s="1"/>
  <c r="AN22" i="19"/>
  <c r="G22" i="15" s="1"/>
  <c r="AN20" i="9"/>
  <c r="AN6" i="6"/>
  <c r="AN7" i="6"/>
  <c r="AN8" i="6"/>
  <c r="AN9" i="6"/>
  <c r="AN10" i="6"/>
  <c r="AN11" i="6"/>
  <c r="AN12" i="6"/>
  <c r="AN13" i="6"/>
  <c r="AN23" i="6"/>
  <c r="AL30" i="6"/>
  <c r="AL5" i="6"/>
  <c r="AN5" i="6" s="1"/>
  <c r="AN39" i="7"/>
  <c r="AN40" i="7"/>
  <c r="AN41" i="7"/>
  <c r="AN42" i="7"/>
  <c r="AN43" i="7"/>
  <c r="AN44" i="7"/>
  <c r="AN60" i="7"/>
  <c r="AN61" i="7"/>
  <c r="AN62" i="7"/>
  <c r="AN63" i="7"/>
  <c r="AN64" i="7"/>
  <c r="AN38" i="7"/>
  <c r="AN33" i="5"/>
  <c r="AN5" i="5"/>
  <c r="AN44" i="9" l="1"/>
  <c r="G16" i="15"/>
  <c r="AN27" i="5"/>
  <c r="G9" i="15" s="1"/>
  <c r="AN24" i="6"/>
  <c r="AN23" i="7"/>
  <c r="AN24" i="7"/>
  <c r="AN25" i="7"/>
  <c r="AN26" i="7"/>
  <c r="AN27" i="7"/>
  <c r="AN28" i="7"/>
  <c r="AN29" i="7"/>
  <c r="AN30" i="7"/>
  <c r="AN31" i="7"/>
  <c r="AN18" i="7"/>
  <c r="AO5" i="18"/>
  <c r="AN24" i="16"/>
  <c r="AN7" i="16"/>
  <c r="AN6" i="16"/>
  <c r="AN5" i="17"/>
  <c r="AO5" i="8"/>
  <c r="AN5" i="14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AM9" i="10"/>
  <c r="AO9" i="10" s="1"/>
  <c r="AM8" i="10"/>
  <c r="AO8" i="10" s="1"/>
  <c r="AM7" i="10"/>
  <c r="AO7" i="10" s="1"/>
  <c r="AM6" i="10"/>
  <c r="AO6" i="10" s="1"/>
  <c r="AM5" i="10"/>
  <c r="AO5" i="10" s="1"/>
  <c r="AO10" i="10" s="1"/>
  <c r="G15" i="15" s="1"/>
  <c r="AN30" i="6"/>
  <c r="AN65" i="7"/>
  <c r="AN17" i="7"/>
  <c r="AN16" i="7"/>
  <c r="AN15" i="7"/>
  <c r="AN14" i="7"/>
  <c r="AN13" i="7"/>
  <c r="AN12" i="7"/>
  <c r="AN11" i="7"/>
  <c r="AN10" i="7"/>
  <c r="AN9" i="7"/>
  <c r="AN8" i="7"/>
  <c r="AN7" i="7"/>
  <c r="AN6" i="7"/>
  <c r="AN5" i="7"/>
  <c r="AN55" i="5"/>
  <c r="G10" i="15" s="1"/>
  <c r="AO15" i="8" l="1"/>
  <c r="G19" i="15" s="1"/>
  <c r="AO25" i="18"/>
  <c r="G23" i="15" s="1"/>
  <c r="AN25" i="16"/>
  <c r="G21" i="15" s="1"/>
  <c r="AN19" i="17"/>
  <c r="G20" i="15" s="1"/>
  <c r="AN31" i="14"/>
  <c r="G18" i="15" s="1"/>
  <c r="G13" i="15"/>
  <c r="AN32" i="7"/>
  <c r="G11" i="15" s="1"/>
  <c r="G12" i="15"/>
  <c r="AN57" i="5"/>
  <c r="AN76" i="6"/>
  <c r="G14" i="15" s="1"/>
  <c r="AL42" i="9"/>
  <c r="F17" i="15" s="1"/>
  <c r="AL55" i="5"/>
  <c r="F10" i="15" s="1"/>
  <c r="AL76" i="6"/>
  <c r="F14" i="15" s="1"/>
  <c r="AL27" i="5"/>
  <c r="F9" i="15" s="1"/>
  <c r="AL31" i="14"/>
  <c r="F18" i="15" s="1"/>
  <c r="AL22" i="19"/>
  <c r="F22" i="15" s="1"/>
  <c r="AL65" i="7"/>
  <c r="F12" i="15" s="1"/>
  <c r="AL20" i="9"/>
  <c r="F16" i="15" s="1"/>
  <c r="AL25" i="16"/>
  <c r="F21" i="15" s="1"/>
  <c r="AL32" i="7"/>
  <c r="F11" i="15" s="1"/>
  <c r="AM10" i="10"/>
  <c r="F15" i="15" s="1"/>
  <c r="AL19" i="17"/>
  <c r="F20" i="15" s="1"/>
  <c r="AL24" i="6"/>
  <c r="F13" i="15" s="1"/>
  <c r="AM15" i="8"/>
  <c r="F19" i="15" s="1"/>
  <c r="AM25" i="18"/>
  <c r="F23" i="15" s="1"/>
  <c r="AN18" i="4"/>
  <c r="AN17" i="4"/>
  <c r="AN16" i="4"/>
  <c r="AN15" i="4"/>
  <c r="AN14" i="4"/>
  <c r="AN13" i="4"/>
  <c r="AN12" i="4"/>
  <c r="AN11" i="4"/>
  <c r="AN10" i="4"/>
  <c r="AN9" i="4"/>
  <c r="AN8" i="4"/>
  <c r="AN6" i="4"/>
  <c r="AN5" i="4"/>
  <c r="AN67" i="7" l="1"/>
  <c r="AN79" i="6"/>
  <c r="AN19" i="4"/>
  <c r="G8" i="15" s="1"/>
  <c r="AL19" i="4"/>
  <c r="F8" i="15" s="1"/>
  <c r="AN5" i="3"/>
  <c r="AN29" i="2"/>
  <c r="AN5" i="2"/>
  <c r="AN24" i="3" l="1"/>
  <c r="G7" i="15" s="1"/>
  <c r="AN52" i="2"/>
  <c r="G6" i="15" s="1"/>
  <c r="AN24" i="2"/>
  <c r="AL24" i="3"/>
  <c r="F7" i="15" s="1"/>
  <c r="F25" i="15" s="1"/>
  <c r="AL52" i="2"/>
  <c r="F6" i="15" s="1"/>
  <c r="AL24" i="2"/>
  <c r="F5" i="15" s="1"/>
  <c r="G5" i="15" l="1"/>
  <c r="AN54" i="2"/>
  <c r="AN5" i="1"/>
  <c r="AN17" i="1" l="1"/>
  <c r="G4" i="15" s="1"/>
  <c r="G25" i="15" s="1"/>
  <c r="AL17" i="1"/>
  <c r="F4" i="15" s="1"/>
</calcChain>
</file>

<file path=xl/sharedStrings.xml><?xml version="1.0" encoding="utf-8"?>
<sst xmlns="http://schemas.openxmlformats.org/spreadsheetml/2006/main" count="9001" uniqueCount="824">
  <si>
    <t>EHK</t>
  </si>
  <si>
    <t>OBHS</t>
  </si>
  <si>
    <t>EMP CODE</t>
  </si>
  <si>
    <t>EMP Name</t>
  </si>
  <si>
    <t>Father's Name</t>
  </si>
  <si>
    <t>S No.</t>
  </si>
  <si>
    <t>Total</t>
  </si>
  <si>
    <t>Dig</t>
  </si>
  <si>
    <t xml:space="preserve">TOTAL ATTENDANCE </t>
  </si>
  <si>
    <t>Attendance</t>
  </si>
  <si>
    <t>S.N</t>
  </si>
  <si>
    <t>Train  No.</t>
  </si>
  <si>
    <t xml:space="preserve">Train Name </t>
  </si>
  <si>
    <t>Rake</t>
  </si>
  <si>
    <t>Masure Project Pvt. Ltd.</t>
  </si>
  <si>
    <t>Total Per Day</t>
  </si>
  <si>
    <t>TA ID No.</t>
  </si>
  <si>
    <t>Remark</t>
  </si>
  <si>
    <t>12422/21</t>
  </si>
  <si>
    <t>14680/81</t>
  </si>
  <si>
    <t>12054/53</t>
  </si>
  <si>
    <t>22488/87</t>
  </si>
  <si>
    <t>14650/49</t>
  </si>
  <si>
    <t>14674/73</t>
  </si>
  <si>
    <t>12204/03</t>
  </si>
  <si>
    <t>04654/53</t>
  </si>
  <si>
    <t>04652/51</t>
  </si>
  <si>
    <t>14628/27</t>
  </si>
  <si>
    <t>14616/15</t>
  </si>
  <si>
    <t>12484/83</t>
  </si>
  <si>
    <t>04610/09</t>
  </si>
  <si>
    <t>14664/63</t>
  </si>
  <si>
    <t>Sach Khand</t>
  </si>
  <si>
    <t>Intercity</t>
  </si>
  <si>
    <t>Jansatabdi</t>
  </si>
  <si>
    <t>Vande Bharat</t>
  </si>
  <si>
    <t>Saryyamuna Exp.</t>
  </si>
  <si>
    <t>Shaid Exp.</t>
  </si>
  <si>
    <t>Garib Rath</t>
  </si>
  <si>
    <t>Hamsafar Exp.</t>
  </si>
  <si>
    <t>Amrit Bharat</t>
  </si>
  <si>
    <t>Lalkua Exp.</t>
  </si>
  <si>
    <t>Kochi Vali Exp.</t>
  </si>
  <si>
    <t>Epecal</t>
  </si>
  <si>
    <t xml:space="preserve">Total Attendence </t>
  </si>
  <si>
    <t>DEEPAK KUMAR</t>
  </si>
  <si>
    <t>DHEERAJ KUMAR</t>
  </si>
  <si>
    <t>34165</t>
  </si>
  <si>
    <t>P</t>
  </si>
  <si>
    <t>GULFAM</t>
  </si>
  <si>
    <t>MUNNE</t>
  </si>
  <si>
    <t>ATUL SHARMA</t>
  </si>
  <si>
    <t>GIRISH SHARMA</t>
  </si>
  <si>
    <t>AVTAR SINGH</t>
  </si>
  <si>
    <t>DARBARA SINGH</t>
  </si>
  <si>
    <t>33614</t>
  </si>
  <si>
    <t>33997</t>
  </si>
  <si>
    <t>33999</t>
  </si>
  <si>
    <t>34059</t>
  </si>
  <si>
    <t>33711</t>
  </si>
  <si>
    <t>33530</t>
  </si>
  <si>
    <t>33747</t>
  </si>
  <si>
    <t>SUNNY</t>
  </si>
  <si>
    <t>LAKHBIR SINGH</t>
  </si>
  <si>
    <t>KARANJEET SINGH</t>
  </si>
  <si>
    <t>BUTTA SINGH</t>
  </si>
  <si>
    <t>KARANDEEP SINGH</t>
  </si>
  <si>
    <t>JASPAL SINGH</t>
  </si>
  <si>
    <t>AMIT KUMAR</t>
  </si>
  <si>
    <t>PRITAM KUMAR</t>
  </si>
  <si>
    <t>SURAJ</t>
  </si>
  <si>
    <t>RANBIR KUMAR</t>
  </si>
  <si>
    <t>RAVI</t>
  </si>
  <si>
    <t>DALBIR SINGH</t>
  </si>
  <si>
    <t>YOGESH KUMAR</t>
  </si>
  <si>
    <t>PRAM CHAND SINGH</t>
  </si>
  <si>
    <t>DAVINDER SINGH</t>
  </si>
  <si>
    <t>LAKHWINDER SINGH</t>
  </si>
  <si>
    <t>BABU RAM</t>
  </si>
  <si>
    <t>SHER SINGH</t>
  </si>
  <si>
    <t>CHEDA LAL</t>
  </si>
  <si>
    <t>33882</t>
  </si>
  <si>
    <t>33880</t>
  </si>
  <si>
    <t>33881</t>
  </si>
  <si>
    <t>33849</t>
  </si>
  <si>
    <t>MANDEEP SINGH</t>
  </si>
  <si>
    <t>SUKHCHAIN SINGH</t>
  </si>
  <si>
    <t>MAHINDER KUMAR</t>
  </si>
  <si>
    <t>MUNI LAL</t>
  </si>
  <si>
    <t>ARUNDEEP SINGH</t>
  </si>
  <si>
    <t>KULDEEP SINGH</t>
  </si>
  <si>
    <t>AMRITPAL SINGH</t>
  </si>
  <si>
    <t>SATJINDER SINGH</t>
  </si>
  <si>
    <t>AJAY KUMAR</t>
  </si>
  <si>
    <t>RAM VILAS</t>
  </si>
  <si>
    <t>33502</t>
  </si>
  <si>
    <t>33556</t>
  </si>
  <si>
    <t>33522</t>
  </si>
  <si>
    <t>33498</t>
  </si>
  <si>
    <t>33534</t>
  </si>
  <si>
    <t>33859</t>
  </si>
  <si>
    <t>33499</t>
  </si>
  <si>
    <t>PREM PRAKASH</t>
  </si>
  <si>
    <t>DAVINDER</t>
  </si>
  <si>
    <t>SOURAV</t>
  </si>
  <si>
    <t>PAWAN KUMAR</t>
  </si>
  <si>
    <t>NARINDER SHARMA</t>
  </si>
  <si>
    <t>HIRA LAL</t>
  </si>
  <si>
    <t>SANT SINGH</t>
  </si>
  <si>
    <t>VEER SINGH</t>
  </si>
  <si>
    <t>SUNIL KUMAR</t>
  </si>
  <si>
    <t>MISHRI LAL</t>
  </si>
  <si>
    <t>SHAKTI KUMAR</t>
  </si>
  <si>
    <t>MURGESH</t>
  </si>
  <si>
    <t>SUGREEV</t>
  </si>
  <si>
    <t>MAHAVEER</t>
  </si>
  <si>
    <t>SARABJEET SINGH</t>
  </si>
  <si>
    <t>AMRIK SINGH</t>
  </si>
  <si>
    <t>HARJINDER</t>
  </si>
  <si>
    <t>KULWANT SINGH</t>
  </si>
  <si>
    <t>33540</t>
  </si>
  <si>
    <t>33872</t>
  </si>
  <si>
    <t>33511</t>
  </si>
  <si>
    <t>33496</t>
  </si>
  <si>
    <t>33539</t>
  </si>
  <si>
    <t>33510</t>
  </si>
  <si>
    <t>BALVIR CHAND</t>
  </si>
  <si>
    <t>KANSRAJ</t>
  </si>
  <si>
    <t>MONEY KUMAR</t>
  </si>
  <si>
    <t>TARLOK RAJ</t>
  </si>
  <si>
    <t>PRABHJOT SINGH</t>
  </si>
  <si>
    <t>TARSEM SINGH</t>
  </si>
  <si>
    <t>PIPAL SINGH</t>
  </si>
  <si>
    <t>PRATAP SINGH</t>
  </si>
  <si>
    <t>GURWINDER SINGH</t>
  </si>
  <si>
    <t>SATNAM SINGH</t>
  </si>
  <si>
    <t>RAJIV KUMAR</t>
  </si>
  <si>
    <t>ROOP LAL</t>
  </si>
  <si>
    <t>33547</t>
  </si>
  <si>
    <t>33637</t>
  </si>
  <si>
    <t>33517</t>
  </si>
  <si>
    <t>33654</t>
  </si>
  <si>
    <t>33783</t>
  </si>
  <si>
    <t>34068</t>
  </si>
  <si>
    <t>SUKHWINDER SINGH</t>
  </si>
  <si>
    <t>PAL SINGH</t>
  </si>
  <si>
    <t>ARJUN</t>
  </si>
  <si>
    <t>PURAN</t>
  </si>
  <si>
    <t>JASWANT SINGH</t>
  </si>
  <si>
    <t>AKASHDEEP SINGH</t>
  </si>
  <si>
    <t>VISHAL</t>
  </si>
  <si>
    <t>KRISHNVEER SINGH</t>
  </si>
  <si>
    <t>KOMAL SINGH</t>
  </si>
  <si>
    <t>33650</t>
  </si>
  <si>
    <t>33649</t>
  </si>
  <si>
    <t>33647</t>
  </si>
  <si>
    <t>34067</t>
  </si>
  <si>
    <t>KRISHNA PAL SINGH</t>
  </si>
  <si>
    <t>RAGHUNATH SINGH</t>
  </si>
  <si>
    <t>RAJU</t>
  </si>
  <si>
    <t>PANCHAM</t>
  </si>
  <si>
    <t>UDAYBHAN</t>
  </si>
  <si>
    <t>BHURI SINGH</t>
  </si>
  <si>
    <t>PRAVIN KUMAR</t>
  </si>
  <si>
    <t>RAGHUNATH</t>
  </si>
  <si>
    <t>VIKASH SINGH</t>
  </si>
  <si>
    <t>BHUPESH KUMAR</t>
  </si>
  <si>
    <t>34008</t>
  </si>
  <si>
    <t>DHEERAJ MISHRA</t>
  </si>
  <si>
    <t>MANOJ MISHRA</t>
  </si>
  <si>
    <t>33680</t>
  </si>
  <si>
    <t>RAJPAL SINGH</t>
  </si>
  <si>
    <t xml:space="preserve">MOOL CHAND </t>
  </si>
  <si>
    <t>34005</t>
  </si>
  <si>
    <t>PALWINDER SINGH</t>
  </si>
  <si>
    <t>BALWINDER SINGH</t>
  </si>
  <si>
    <t>33868</t>
  </si>
  <si>
    <t>PRITPAL SINGH</t>
  </si>
  <si>
    <t>BASANT SINGH</t>
  </si>
  <si>
    <t>33608</t>
  </si>
  <si>
    <t>YOGESH KUMAR PAL</t>
  </si>
  <si>
    <t>MANOJ KUMAR PAL</t>
  </si>
  <si>
    <t>MANPREET SINGH</t>
  </si>
  <si>
    <t>MANJIT SINGH</t>
  </si>
  <si>
    <t xml:space="preserve">SONU BAGHEL </t>
  </si>
  <si>
    <t>PREM SINGH</t>
  </si>
  <si>
    <t>ALESH</t>
  </si>
  <si>
    <t>SHRI LAL</t>
  </si>
  <si>
    <t>JAIMEET SINGH</t>
  </si>
  <si>
    <t>SANTOKH SINGH</t>
  </si>
  <si>
    <t>ARPIT GUPTA</t>
  </si>
  <si>
    <t>ANIL GUPTA</t>
  </si>
  <si>
    <t>33792</t>
  </si>
  <si>
    <t>ANOOP KUMAR</t>
  </si>
  <si>
    <t xml:space="preserve">KISHAN CHAND </t>
  </si>
  <si>
    <t>33549</t>
  </si>
  <si>
    <t>CHARANJIT SINGH</t>
  </si>
  <si>
    <t>GURMUKH SINGH</t>
  </si>
  <si>
    <t>33682</t>
  </si>
  <si>
    <t>GAGANDEEP SINGH</t>
  </si>
  <si>
    <t>MANMOHAN SINGH</t>
  </si>
  <si>
    <t>34155</t>
  </si>
  <si>
    <t>TARSEM MASIH</t>
  </si>
  <si>
    <t>SOHAN SINGH</t>
  </si>
  <si>
    <t>33526</t>
  </si>
  <si>
    <t>ASHWANI SINGH</t>
  </si>
  <si>
    <t>MANN SINGH</t>
  </si>
  <si>
    <t>33791</t>
  </si>
  <si>
    <t>33857</t>
  </si>
  <si>
    <t>RAM SINGH</t>
  </si>
  <si>
    <t>34088</t>
  </si>
  <si>
    <t>MANINDER SINGH</t>
  </si>
  <si>
    <t>RESHAM SINGH</t>
  </si>
  <si>
    <t>KALA RAM</t>
  </si>
  <si>
    <t>33518</t>
  </si>
  <si>
    <t>VINOD KUMAR</t>
  </si>
  <si>
    <t xml:space="preserve">JASPAL </t>
  </si>
  <si>
    <t>33506</t>
  </si>
  <si>
    <t>AJIT SINGH</t>
  </si>
  <si>
    <t>33661</t>
  </si>
  <si>
    <t>DEEPAK</t>
  </si>
  <si>
    <t>ARUN SHARMA</t>
  </si>
  <si>
    <t>PRAMOD SHARMA</t>
  </si>
  <si>
    <t>PRAVEEN KUMAR</t>
  </si>
  <si>
    <t>SANJAY KUMAR</t>
  </si>
  <si>
    <t>33533</t>
  </si>
  <si>
    <t>RAJBIR SINGH</t>
  </si>
  <si>
    <t>TASVIR SINGH</t>
  </si>
  <si>
    <t>33504</t>
  </si>
  <si>
    <t>RAHUL KUMAR</t>
  </si>
  <si>
    <t>33694</t>
  </si>
  <si>
    <t>VICKY</t>
  </si>
  <si>
    <t>PAPPU</t>
  </si>
  <si>
    <t>33658</t>
  </si>
  <si>
    <t>ARMAN</t>
  </si>
  <si>
    <t>JAHIR AHMAD</t>
  </si>
  <si>
    <t>33858</t>
  </si>
  <si>
    <t>RAVINDER SINGH</t>
  </si>
  <si>
    <t>BALKAR SINGH</t>
  </si>
  <si>
    <t>MOHIT</t>
  </si>
  <si>
    <t>ASHOK</t>
  </si>
  <si>
    <t>SARWAN SINGH</t>
  </si>
  <si>
    <t>HARBHAJAN SINGH</t>
  </si>
  <si>
    <t>SURINDER KUMAR</t>
  </si>
  <si>
    <t>KARAM CHAND</t>
  </si>
  <si>
    <t>GURSAHIB SINGH</t>
  </si>
  <si>
    <t>PUSHPINDER SINGH</t>
  </si>
  <si>
    <t>SARDOOL SINGH</t>
  </si>
  <si>
    <t>ARUN</t>
  </si>
  <si>
    <t>SURESH</t>
  </si>
  <si>
    <t>33718</t>
  </si>
  <si>
    <t>ABHISHEK KUMAR</t>
  </si>
  <si>
    <t>HARIBABU</t>
  </si>
  <si>
    <t>33796</t>
  </si>
  <si>
    <t>AMAR SINGH</t>
  </si>
  <si>
    <t>CHANDRA BHAN</t>
  </si>
  <si>
    <t>33775</t>
  </si>
  <si>
    <t>MOHD KAREEM</t>
  </si>
  <si>
    <t>MOHD KABEER</t>
  </si>
  <si>
    <t>TARUN</t>
  </si>
  <si>
    <t>FARMAN</t>
  </si>
  <si>
    <t>RASSHAN KHAN</t>
  </si>
  <si>
    <t>33690</t>
  </si>
  <si>
    <t>VIPIN SAINI</t>
  </si>
  <si>
    <t>KARAN SINGH</t>
  </si>
  <si>
    <t>33515</t>
  </si>
  <si>
    <t>GURMAIL SINGH</t>
  </si>
  <si>
    <t>HARJINDER SINGH</t>
  </si>
  <si>
    <t>33585</t>
  </si>
  <si>
    <t>ARSHDEEP SINGH</t>
  </si>
  <si>
    <t>CHARANJEET SINGH</t>
  </si>
  <si>
    <t>33829</t>
  </si>
  <si>
    <t>HASEEN KHAN</t>
  </si>
  <si>
    <t>SHADDU KHAN</t>
  </si>
  <si>
    <t>34093</t>
  </si>
  <si>
    <t>DEVENDRA AGRWAL</t>
  </si>
  <si>
    <t>VIRENDRA AGRAWAL</t>
  </si>
  <si>
    <t>33982</t>
  </si>
  <si>
    <t>SHIVA</t>
  </si>
  <si>
    <t>VIJENDRA SINGH</t>
  </si>
  <si>
    <t>KARAN KUMAR</t>
  </si>
  <si>
    <t>INDERJIT</t>
  </si>
  <si>
    <t>BALWINDER KUMAR</t>
  </si>
  <si>
    <t>JATINDER</t>
  </si>
  <si>
    <t>MOOL CHAND</t>
  </si>
  <si>
    <t>SANDEEP SINGH</t>
  </si>
  <si>
    <t>SUKHBIR SINGH</t>
  </si>
  <si>
    <t>LOVEPREET SINGH</t>
  </si>
  <si>
    <t>GULJAR SINGH</t>
  </si>
  <si>
    <t>34184</t>
  </si>
  <si>
    <t>p</t>
  </si>
  <si>
    <t>SURENDER</t>
  </si>
  <si>
    <t>SHIV CHARAN</t>
  </si>
  <si>
    <t>UMESH KUMAR</t>
  </si>
  <si>
    <t>VEDPAL SINGH</t>
  </si>
  <si>
    <t>34185</t>
  </si>
  <si>
    <t>SACHIN KUMAR</t>
  </si>
  <si>
    <t>DEENDAYAL</t>
  </si>
  <si>
    <t>34186</t>
  </si>
  <si>
    <t>VISHAL SINGH</t>
  </si>
  <si>
    <t xml:space="preserve">VISHAL </t>
  </si>
  <si>
    <t>SUKHPREET SINGH</t>
  </si>
  <si>
    <t>RAJ KUMAR</t>
  </si>
  <si>
    <t>JAGDISH LAL</t>
  </si>
  <si>
    <t>HARBANS SINGH</t>
  </si>
  <si>
    <t>33887</t>
  </si>
  <si>
    <t>JAGTAR SINGH</t>
  </si>
  <si>
    <t>DILBAGH SINGH</t>
  </si>
  <si>
    <t>CAPTAIN SINGH</t>
  </si>
  <si>
    <t>LASHMAN SINGH</t>
  </si>
  <si>
    <t>GURBIR SINGH</t>
  </si>
  <si>
    <t>34187</t>
  </si>
  <si>
    <t xml:space="preserve">ANGREJ </t>
  </si>
  <si>
    <t>RAVI SINGH</t>
  </si>
  <si>
    <t>PAVAN KUMAR SINGH</t>
  </si>
  <si>
    <t>BUBHASH CHANDRA SINGH</t>
  </si>
  <si>
    <t>33581</t>
  </si>
  <si>
    <t>JAHIR SINGH</t>
  </si>
  <si>
    <t>33883</t>
  </si>
  <si>
    <t>CHANDAN SAGAR</t>
  </si>
  <si>
    <t>NET RAM</t>
  </si>
  <si>
    <t>34002</t>
  </si>
  <si>
    <t>33910</t>
  </si>
  <si>
    <t>RANJIT SINGH</t>
  </si>
  <si>
    <t>SARABJIT SINGH</t>
  </si>
  <si>
    <t>33797</t>
  </si>
  <si>
    <t>NISHAN SINGH</t>
  </si>
  <si>
    <t>DILBAG SINGH</t>
  </si>
  <si>
    <t>MOHAMMAD AMAN</t>
  </si>
  <si>
    <t>IKLAKH AHAMAD</t>
  </si>
  <si>
    <t>33712</t>
  </si>
  <si>
    <t>BRAJESH KUMAR SHARMA</t>
  </si>
  <si>
    <t>SHRAVAN KUMAR SHARMA</t>
  </si>
  <si>
    <t>33855</t>
  </si>
  <si>
    <t>33793</t>
  </si>
  <si>
    <t>SIKANDER</t>
  </si>
  <si>
    <t>34166</t>
  </si>
  <si>
    <t>SOURABH SEHGAL</t>
  </si>
  <si>
    <t>DES RAJ SEHGAL</t>
  </si>
  <si>
    <t>34048</t>
  </si>
  <si>
    <t>MOHD FURQAN</t>
  </si>
  <si>
    <t>MOHD ILYAS</t>
  </si>
  <si>
    <t>33877</t>
  </si>
  <si>
    <t>SUJAL PAL</t>
  </si>
  <si>
    <t>CHARAN PAL</t>
  </si>
  <si>
    <t>34014</t>
  </si>
  <si>
    <t>BHAGWANT SINGH</t>
  </si>
  <si>
    <t>JOGINDER LAL</t>
  </si>
  <si>
    <t>34209</t>
  </si>
  <si>
    <t>34167</t>
  </si>
  <si>
    <t>AJAY</t>
  </si>
  <si>
    <t>RAMESH KUMAR</t>
  </si>
  <si>
    <t>33605</t>
  </si>
  <si>
    <t>DAVINDER KUMAR</t>
  </si>
  <si>
    <t>HARESH PURI</t>
  </si>
  <si>
    <t>33604</t>
  </si>
  <si>
    <t>PANKAJ KUMAR</t>
  </si>
  <si>
    <t>33894</t>
  </si>
  <si>
    <t>MANI SINGH</t>
  </si>
  <si>
    <t>JASBIR SINGH</t>
  </si>
  <si>
    <t>KASHMIR SINGH</t>
  </si>
  <si>
    <t>33497</t>
  </si>
  <si>
    <t>GURLAL SINGH</t>
  </si>
  <si>
    <t>HARPREET SINGH</t>
  </si>
  <si>
    <t>33572</t>
  </si>
  <si>
    <t>AJAY SINGH</t>
  </si>
  <si>
    <t>DHEERA SINGH</t>
  </si>
  <si>
    <t>33714</t>
  </si>
  <si>
    <t>RAMPAL SINGH</t>
  </si>
  <si>
    <t>GURNAM SINGH</t>
  </si>
  <si>
    <t xml:space="preserve">SHUBHAM </t>
  </si>
  <si>
    <t>RAJESH</t>
  </si>
  <si>
    <t>SUKHDDEV SINGH</t>
  </si>
  <si>
    <t>KAMAL</t>
  </si>
  <si>
    <t>HUKUM SINGH</t>
  </si>
  <si>
    <t xml:space="preserve">ROHIT </t>
  </si>
  <si>
    <t>DODRAM</t>
  </si>
  <si>
    <t>SONU BAGHEL</t>
  </si>
  <si>
    <t>33676</t>
  </si>
  <si>
    <t xml:space="preserve">KAMALDEEP </t>
  </si>
  <si>
    <t>33638</t>
  </si>
  <si>
    <t>NARENDER</t>
  </si>
  <si>
    <t>CHANDER BHAN</t>
  </si>
  <si>
    <t>33567</t>
  </si>
  <si>
    <t xml:space="preserve">VIKAS </t>
  </si>
  <si>
    <t>FIRTU RAM</t>
  </si>
  <si>
    <t xml:space="preserve">RASHPAL </t>
  </si>
  <si>
    <t>KARAN</t>
  </si>
  <si>
    <t>RAJINDER KUMAR</t>
  </si>
  <si>
    <t>33528</t>
  </si>
  <si>
    <t xml:space="preserve">BHUPINDER </t>
  </si>
  <si>
    <t>GURPREET</t>
  </si>
  <si>
    <t>PRAVEEN</t>
  </si>
  <si>
    <t>MUNNA LAL</t>
  </si>
  <si>
    <t>33653</t>
  </si>
  <si>
    <t>GOPAL SINGH</t>
  </si>
  <si>
    <t xml:space="preserve">VIPIN </t>
  </si>
  <si>
    <t>TEK CHAND</t>
  </si>
  <si>
    <t>33577</t>
  </si>
  <si>
    <t>NEETA</t>
  </si>
  <si>
    <t>SUDESH KUMAR</t>
  </si>
  <si>
    <t>33509</t>
  </si>
  <si>
    <t>JASWINDER SINGH</t>
  </si>
  <si>
    <t>GURBACHAN SINGH</t>
  </si>
  <si>
    <t>33700</t>
  </si>
  <si>
    <t>SANJEEV TIWARI</t>
  </si>
  <si>
    <t>RAGHUVEER SINGH</t>
  </si>
  <si>
    <t>33677</t>
  </si>
  <si>
    <t>ANUBHAV SHARMA</t>
  </si>
  <si>
    <t>SHYAM SUNDER SHARMA</t>
  </si>
  <si>
    <t>33675</t>
  </si>
  <si>
    <t>34169</t>
  </si>
  <si>
    <t>PP</t>
  </si>
  <si>
    <t>NITISH SINGH</t>
  </si>
  <si>
    <t>MAHESH KUMAR</t>
  </si>
  <si>
    <t xml:space="preserve">DEEPAK </t>
  </si>
  <si>
    <t xml:space="preserve">SANJEEV TIWARI </t>
  </si>
  <si>
    <t xml:space="preserve">SONU KASHYAP </t>
  </si>
  <si>
    <t>RAMDAS</t>
  </si>
  <si>
    <t xml:space="preserve">KARAN  </t>
  </si>
  <si>
    <t>33816</t>
  </si>
  <si>
    <t xml:space="preserve">KARAN </t>
  </si>
  <si>
    <t>HARSHDEEP SINGH</t>
  </si>
  <si>
    <t>JAGDISH SINGH</t>
  </si>
  <si>
    <t>SYED KHALID WALIED</t>
  </si>
  <si>
    <t>SYED ZAHID AHMAD</t>
  </si>
  <si>
    <t>34058</t>
  </si>
  <si>
    <t>33507</t>
  </si>
  <si>
    <t>GURPREET SINGH</t>
  </si>
  <si>
    <t>BEANT SINGH</t>
  </si>
  <si>
    <t>33752</t>
  </si>
  <si>
    <t>GURBAKHASH SINGH</t>
  </si>
  <si>
    <t>SATPAL SINGH</t>
  </si>
  <si>
    <t>33724</t>
  </si>
  <si>
    <t>ANUJ KUMAR</t>
  </si>
  <si>
    <t>GORI SHANKAR</t>
  </si>
  <si>
    <t>MAZI THAKUR</t>
  </si>
  <si>
    <t>33994</t>
  </si>
  <si>
    <t>33753</t>
  </si>
  <si>
    <t>33576</t>
  </si>
  <si>
    <t xml:space="preserve">JATINDER </t>
  </si>
  <si>
    <t>SAHIL BAWA</t>
  </si>
  <si>
    <t>RAMAN KUMAR</t>
  </si>
  <si>
    <t>33568</t>
  </si>
  <si>
    <t>34154</t>
  </si>
  <si>
    <t>34006</t>
  </si>
  <si>
    <t>SONU KASHYAP</t>
  </si>
  <si>
    <t>33586</t>
  </si>
  <si>
    <t>MANJEET SINGH</t>
  </si>
  <si>
    <t>HARDEEP SINGH</t>
  </si>
  <si>
    <t>33541</t>
  </si>
  <si>
    <t>34000</t>
  </si>
  <si>
    <t xml:space="preserve">ARUN </t>
  </si>
  <si>
    <t>34275</t>
  </si>
  <si>
    <t>34286</t>
  </si>
  <si>
    <t>34282</t>
  </si>
  <si>
    <t>34279</t>
  </si>
  <si>
    <t>34274</t>
  </si>
  <si>
    <t>34269</t>
  </si>
  <si>
    <t>34273</t>
  </si>
  <si>
    <t>34272</t>
  </si>
  <si>
    <t>34271</t>
  </si>
  <si>
    <t>34270</t>
  </si>
  <si>
    <t>34280</t>
  </si>
  <si>
    <t>Rate</t>
  </si>
  <si>
    <t xml:space="preserve">Monthly Salary </t>
  </si>
  <si>
    <t>S.N.</t>
  </si>
  <si>
    <t xml:space="preserve">Rate </t>
  </si>
  <si>
    <t>Monthly Salary</t>
  </si>
  <si>
    <t>Monthy Salary</t>
  </si>
  <si>
    <t xml:space="preserve">KYC </t>
  </si>
  <si>
    <t>Rate/Day</t>
  </si>
  <si>
    <t xml:space="preserve">BUBHASH CHANDRA </t>
  </si>
  <si>
    <t>Total Salary</t>
  </si>
  <si>
    <t xml:space="preserve">Total Salary of 2 Rake </t>
  </si>
  <si>
    <t xml:space="preserve">Salary Month </t>
  </si>
  <si>
    <t xml:space="preserve">    OBHS Attendance sheet of 04654/53                                                                        (Rake-01)                                                                                             Month:- May-2026                                                         Site Name:- Amritsar OBHS (Attendance Day Per trip:- 04)</t>
  </si>
  <si>
    <t>Total Salary of 2 Rake</t>
  </si>
  <si>
    <t>Salary Amount</t>
  </si>
  <si>
    <t>OBHS Staff</t>
  </si>
  <si>
    <t xml:space="preserve">TUSHAR </t>
  </si>
  <si>
    <t>RAVI RAJ</t>
  </si>
  <si>
    <t xml:space="preserve">EMP CODE </t>
  </si>
  <si>
    <t>EMP NAME</t>
  </si>
  <si>
    <t>FATHER NAME</t>
  </si>
  <si>
    <t>Dig.</t>
  </si>
  <si>
    <t>Total Days</t>
  </si>
  <si>
    <t>OBHS SUP.</t>
  </si>
  <si>
    <t>GURPINDER</t>
  </si>
  <si>
    <t>33838</t>
  </si>
  <si>
    <t>MANINDER JEET SINGH</t>
  </si>
  <si>
    <t>SALWINDER SINGH</t>
  </si>
  <si>
    <t xml:space="preserve">Total </t>
  </si>
  <si>
    <t xml:space="preserve">                 COMPANY NAME: MAISUE PROJECT PVT. LTD.                                                                                                     MONTH: May-2026                                                       LOCATION: OBHS Staff  AMRITSAR</t>
  </si>
  <si>
    <t xml:space="preserve">    OBHS Attendance sheet of 12422/21                                                               (Rake-01)                                                                            Month:- JUNE-2026                                                                 Site Name:- Amritsar OBHS (Attendance Day Per trip:- 04)</t>
  </si>
  <si>
    <t>PRINSPAL SINGH</t>
  </si>
  <si>
    <t>34285</t>
  </si>
  <si>
    <t>GURJANT SINGH</t>
  </si>
  <si>
    <t>INDERJIT SINGH</t>
  </si>
  <si>
    <t>RAHUL SEMAL</t>
  </si>
  <si>
    <t>RAM BHAROSEY</t>
  </si>
  <si>
    <t>34289</t>
  </si>
  <si>
    <t>DEEPANSHU SHARMA</t>
  </si>
  <si>
    <t>INDRADEV SHARMA</t>
  </si>
  <si>
    <t>34290</t>
  </si>
  <si>
    <t>MUNSHIRAM</t>
  </si>
  <si>
    <t>34291</t>
  </si>
  <si>
    <t>JAG MOHAN</t>
  </si>
  <si>
    <t>CHANNU</t>
  </si>
  <si>
    <t>34284</t>
  </si>
  <si>
    <t>33580</t>
  </si>
  <si>
    <t>NISHANT</t>
  </si>
  <si>
    <t>DEEPAK GUPTA</t>
  </si>
  <si>
    <t>34304</t>
  </si>
  <si>
    <t>PAWAN</t>
  </si>
  <si>
    <t>BHAIYA LAL SHARMA</t>
  </si>
  <si>
    <t>34303</t>
  </si>
  <si>
    <t>SURJEET</t>
  </si>
  <si>
    <t>34347</t>
  </si>
  <si>
    <t>NAVNEET GUPTA</t>
  </si>
  <si>
    <t>RAJU GUPTA</t>
  </si>
  <si>
    <t>34301</t>
  </si>
  <si>
    <t>ASHWANI</t>
  </si>
  <si>
    <t>34302</t>
  </si>
  <si>
    <t>YAMEEN KHAN</t>
  </si>
  <si>
    <t>SALEEM KHAN</t>
  </si>
  <si>
    <t>34341</t>
  </si>
  <si>
    <t>34260</t>
  </si>
  <si>
    <t>ANURAG SINGH</t>
  </si>
  <si>
    <t>JAIPAL SINGH</t>
  </si>
  <si>
    <t>34308</t>
  </si>
  <si>
    <t>SANJU SINGH</t>
  </si>
  <si>
    <t>34340</t>
  </si>
  <si>
    <t>MALKIT SINGH</t>
  </si>
  <si>
    <t>AJAIB SINGH</t>
  </si>
  <si>
    <t>34315</t>
  </si>
  <si>
    <t xml:space="preserve">CHETAN </t>
  </si>
  <si>
    <t>JAGJEET PRAKASH SINGH</t>
  </si>
  <si>
    <t>VIKRAM SINGH</t>
  </si>
  <si>
    <t>LAL SINGH</t>
  </si>
  <si>
    <t>LOVEDEEP SINGH</t>
  </si>
  <si>
    <t>SAWINDER SINGH</t>
  </si>
  <si>
    <t>KARANBIR SINGH</t>
  </si>
  <si>
    <t>BAJWA SINGH</t>
  </si>
  <si>
    <t xml:space="preserve">SONU </t>
  </si>
  <si>
    <t xml:space="preserve">RAM KISHAN </t>
  </si>
  <si>
    <t xml:space="preserve">SHIVAM </t>
  </si>
  <si>
    <t>NARESH SINGH</t>
  </si>
  <si>
    <t xml:space="preserve">AMAN </t>
  </si>
  <si>
    <t>NANHE SINGH</t>
  </si>
  <si>
    <t>34281</t>
  </si>
  <si>
    <t>NIKHIL PRAJAPATI</t>
  </si>
  <si>
    <t>RAMNATH PRAJAPATI</t>
  </si>
  <si>
    <t>33865</t>
  </si>
  <si>
    <t>33869</t>
  </si>
  <si>
    <t>BAGH SINGH</t>
  </si>
  <si>
    <t>34486</t>
  </si>
  <si>
    <t xml:space="preserve">SURAJ </t>
  </si>
  <si>
    <t>RAM MILAN</t>
  </si>
  <si>
    <t>34343</t>
  </si>
  <si>
    <t>SHARANJIT SINGH</t>
  </si>
  <si>
    <t>HARJIT  SINGH</t>
  </si>
  <si>
    <t>34366</t>
  </si>
  <si>
    <t>33514</t>
  </si>
  <si>
    <t>LEKHRAJ</t>
  </si>
  <si>
    <t>MAJOR SINGH</t>
  </si>
  <si>
    <t>34480</t>
  </si>
  <si>
    <t>DHARMENDRA KUMAR</t>
  </si>
  <si>
    <t>HARISHANKAR</t>
  </si>
  <si>
    <t>34362</t>
  </si>
  <si>
    <t>SHIVAM</t>
  </si>
  <si>
    <t>JAY SINGH</t>
  </si>
  <si>
    <t>34350</t>
  </si>
  <si>
    <t>RAHUL MISHRA</t>
  </si>
  <si>
    <t>RAMASHANKAR MISHRA</t>
  </si>
  <si>
    <t>34372</t>
  </si>
  <si>
    <t>ANAND KUMAR</t>
  </si>
  <si>
    <t>ASHOK KUMAR</t>
  </si>
  <si>
    <t>34360</t>
  </si>
  <si>
    <t>AMIT AGNIHOTRI</t>
  </si>
  <si>
    <t>KAMLESH KUMAR</t>
  </si>
  <si>
    <t>34363</t>
  </si>
  <si>
    <t>VINEET KUMAR</t>
  </si>
  <si>
    <t>CHATUR SINGH</t>
  </si>
  <si>
    <t>34364</t>
  </si>
  <si>
    <t>CHANDRAPRAKASH</t>
  </si>
  <si>
    <t>RAGHUVARDAYAL</t>
  </si>
  <si>
    <t>34365</t>
  </si>
  <si>
    <t>VEERAN RAIKWAR</t>
  </si>
  <si>
    <t>GHANSHYAM</t>
  </si>
  <si>
    <t>34351</t>
  </si>
  <si>
    <t>UMESH AHIRWAR</t>
  </si>
  <si>
    <t>BALLU AHIRWAR</t>
  </si>
  <si>
    <t>34349</t>
  </si>
  <si>
    <t>RANBIR SINGH</t>
  </si>
  <si>
    <t>34487</t>
  </si>
  <si>
    <t>VIKAS</t>
  </si>
  <si>
    <t>HARMAN JOT SINGH</t>
  </si>
  <si>
    <t>34488</t>
  </si>
  <si>
    <t>ANURAG SHARMA</t>
  </si>
  <si>
    <t>VINOD KUMAR SHARMA</t>
  </si>
  <si>
    <t>AJAY SHARMA</t>
  </si>
  <si>
    <t>ASHWANI SHARMA</t>
  </si>
  <si>
    <t>34469</t>
  </si>
  <si>
    <t xml:space="preserve">SHAILESH KUMAR RAO </t>
  </si>
  <si>
    <t>HARISH KUMAR</t>
  </si>
  <si>
    <t>BHAGAT RAM</t>
  </si>
  <si>
    <t>HULASH RAM</t>
  </si>
  <si>
    <t xml:space="preserve">GANGADER TIWARI </t>
  </si>
  <si>
    <t>MADAN TIWARI</t>
  </si>
  <si>
    <t xml:space="preserve">VIKRAM </t>
  </si>
  <si>
    <t xml:space="preserve"> LAL SINGH</t>
  </si>
  <si>
    <t>PRAVEEN SONI</t>
  </si>
  <si>
    <t>DHARMENDRA SONI</t>
  </si>
  <si>
    <t>34578</t>
  </si>
  <si>
    <t>RASHPAL SINGH</t>
  </si>
  <si>
    <t>KASHMEER SINGH</t>
  </si>
  <si>
    <t>SHUBHAM</t>
  </si>
  <si>
    <t>34261</t>
  </si>
  <si>
    <t>33662</t>
  </si>
  <si>
    <t>RAKESH SINGH</t>
  </si>
  <si>
    <t>33794</t>
  </si>
  <si>
    <t>JASPINDER SINGH</t>
  </si>
  <si>
    <t>BINDER</t>
  </si>
  <si>
    <t>34485</t>
  </si>
  <si>
    <t>AMANDEEP SINGH</t>
  </si>
  <si>
    <t>34484</t>
  </si>
  <si>
    <t>33532</t>
  </si>
  <si>
    <t>NITIN</t>
  </si>
  <si>
    <t>SANDEEP SEHGAL</t>
  </si>
  <si>
    <t>34479</t>
  </si>
  <si>
    <t>SUKHDEV SINGH</t>
  </si>
  <si>
    <t>34468</t>
  </si>
  <si>
    <t>SATPAL KAUR</t>
  </si>
  <si>
    <t>34467</t>
  </si>
  <si>
    <t>33697</t>
  </si>
  <si>
    <t>NARVEER SINGH</t>
  </si>
  <si>
    <t>SARBJIT SINGH</t>
  </si>
  <si>
    <t>BHAG SINGH</t>
  </si>
  <si>
    <t>34482</t>
  </si>
  <si>
    <t>PRABJOT SINGH</t>
  </si>
  <si>
    <t>JOGINDER SINGH</t>
  </si>
  <si>
    <t>34528</t>
  </si>
  <si>
    <t>FATEH SINGH</t>
  </si>
  <si>
    <t>HARVAIL SINGH</t>
  </si>
  <si>
    <t>MALKEET SINGH</t>
  </si>
  <si>
    <t>BAHIDER SINGH</t>
  </si>
  <si>
    <t>34490</t>
  </si>
  <si>
    <t>JUGRAJ SINGH</t>
  </si>
  <si>
    <t>34527</t>
  </si>
  <si>
    <t>33987</t>
  </si>
  <si>
    <t>RAKESH YADAV</t>
  </si>
  <si>
    <t>DEVI PARSHAD YADAV</t>
  </si>
  <si>
    <t>34583</t>
  </si>
  <si>
    <t>34588</t>
  </si>
  <si>
    <t>SAHIL</t>
  </si>
  <si>
    <t>SHRI RAM</t>
  </si>
  <si>
    <t>34584</t>
  </si>
  <si>
    <t xml:space="preserve">ATUL SHARMA </t>
  </si>
  <si>
    <t xml:space="preserve">GULFAM </t>
  </si>
  <si>
    <t>GURPREET SINGGH</t>
  </si>
  <si>
    <t>34581</t>
  </si>
  <si>
    <t>RAKESH</t>
  </si>
  <si>
    <t>SHYAMVEER SINGH</t>
  </si>
  <si>
    <t>GURINDER SINGH</t>
  </si>
  <si>
    <t>GURCHARAN SINGH</t>
  </si>
  <si>
    <t>34585</t>
  </si>
  <si>
    <t>GURBINDER SINGH</t>
  </si>
  <si>
    <t>DARSHAN SINGH</t>
  </si>
  <si>
    <t>34562</t>
  </si>
  <si>
    <t>KISHAN CHAND</t>
  </si>
  <si>
    <t>GURPRATAP SINGH</t>
  </si>
  <si>
    <t>ASHISH SINGH</t>
  </si>
  <si>
    <t>34561</t>
  </si>
  <si>
    <t>NOOR SINGH</t>
  </si>
  <si>
    <t>34560</t>
  </si>
  <si>
    <t xml:space="preserve">PRABHJOT </t>
  </si>
  <si>
    <t>34582</t>
  </si>
  <si>
    <t>SURENDER SINGH</t>
  </si>
  <si>
    <t>33500</t>
  </si>
  <si>
    <t>33505</t>
  </si>
  <si>
    <t>33516</t>
  </si>
  <si>
    <t>33578</t>
  </si>
  <si>
    <t>33648</t>
  </si>
  <si>
    <t>33701</t>
  </si>
  <si>
    <t>33713</t>
  </si>
  <si>
    <t>33720</t>
  </si>
  <si>
    <t>SONU</t>
  </si>
  <si>
    <t>SARBJEET SINGH</t>
  </si>
  <si>
    <t>33920</t>
  </si>
  <si>
    <t>CAPTAIN  SINGH</t>
  </si>
  <si>
    <t>34044</t>
  </si>
  <si>
    <t>34071</t>
  </si>
  <si>
    <t>34073</t>
  </si>
  <si>
    <t>34096</t>
  </si>
  <si>
    <t>34168</t>
  </si>
  <si>
    <t>ROHIT</t>
  </si>
  <si>
    <t>BHUPINDER  SINGH</t>
  </si>
  <si>
    <t>ANGREJ SINGH</t>
  </si>
  <si>
    <t>BUTA SINGH</t>
  </si>
  <si>
    <t>34300</t>
  </si>
  <si>
    <t>VANSH SHARMA</t>
  </si>
  <si>
    <t>PARDEEP KUMAR</t>
  </si>
  <si>
    <t>34338</t>
  </si>
  <si>
    <t>34367</t>
  </si>
  <si>
    <t>34483</t>
  </si>
  <si>
    <t>34489</t>
  </si>
  <si>
    <t>34557</t>
  </si>
  <si>
    <t>34559</t>
  </si>
  <si>
    <t>BALTEJ SINGH</t>
  </si>
  <si>
    <t>SHAHRUKH KHAN</t>
  </si>
  <si>
    <t>KALU KHAN TELI</t>
  </si>
  <si>
    <t>EMP FATHER'S NAME</t>
  </si>
  <si>
    <t>TOTAL</t>
  </si>
  <si>
    <t xml:space="preserve">VIPIN  </t>
  </si>
  <si>
    <t xml:space="preserve"> RAM KISHAN</t>
  </si>
  <si>
    <t xml:space="preserve">NARESH </t>
  </si>
  <si>
    <t>AMAN</t>
  </si>
  <si>
    <t>SHAILESH KUMAR RAO</t>
  </si>
  <si>
    <t xml:space="preserve">BHAGAT RAM </t>
  </si>
  <si>
    <t>GANGADHAR TIWARI</t>
  </si>
  <si>
    <t xml:space="preserve"> RAM   </t>
  </si>
  <si>
    <t>`</t>
  </si>
  <si>
    <t xml:space="preserve">GURPRATAP </t>
  </si>
  <si>
    <t>TARSEEM SINGH</t>
  </si>
  <si>
    <t xml:space="preserve">GULSHAN </t>
  </si>
  <si>
    <t>BHAJAN SINGH</t>
  </si>
  <si>
    <t>SADIR</t>
  </si>
  <si>
    <t>AMIN KHAN</t>
  </si>
  <si>
    <t>SABBIR</t>
  </si>
  <si>
    <t xml:space="preserve">SUKHWINDER  </t>
  </si>
  <si>
    <t>SAHIB SINGH</t>
  </si>
  <si>
    <t>ATUL KUMAR</t>
  </si>
  <si>
    <t>SANTOSH KUMAR</t>
  </si>
  <si>
    <t>SHUBHAM SAROJ</t>
  </si>
  <si>
    <t>DEEP NARAYAN SAROJ</t>
  </si>
  <si>
    <t>RAVINDRA</t>
  </si>
  <si>
    <t>MADHAVRAJ</t>
  </si>
  <si>
    <t>RAJ KUMAR GAUTAM</t>
  </si>
  <si>
    <t>RAMESH GAUTAM</t>
  </si>
  <si>
    <t>SHUBHAM PASWAN</t>
  </si>
  <si>
    <t xml:space="preserve">PATAN DEEN </t>
  </si>
  <si>
    <t>SURAJ KUSHWAHA</t>
  </si>
  <si>
    <t>MAIYADEEN KUSHWAHA</t>
  </si>
  <si>
    <t>34646</t>
  </si>
  <si>
    <t>RAM KUMAR MISHRA</t>
  </si>
  <si>
    <t>SUDHIR KUMAR MISHRA</t>
  </si>
  <si>
    <t>34645</t>
  </si>
  <si>
    <t>34644</t>
  </si>
  <si>
    <t>PAWANPREET SINGH</t>
  </si>
  <si>
    <t>34643</t>
  </si>
  <si>
    <t xml:space="preserve">AJAY DHARIYA </t>
  </si>
  <si>
    <t>SANT RAM DAHARIYA</t>
  </si>
  <si>
    <t>MANISH DAS</t>
  </si>
  <si>
    <t>SANTOSH DAS</t>
  </si>
  <si>
    <t>DEEPAK ARORA</t>
  </si>
  <si>
    <t>SARDARI LAL ARORA</t>
  </si>
  <si>
    <t>RAVI KUMAR</t>
  </si>
  <si>
    <t xml:space="preserve">SANT RAM  </t>
  </si>
  <si>
    <t>33583</t>
  </si>
  <si>
    <t>34640</t>
  </si>
  <si>
    <t>34652</t>
  </si>
  <si>
    <t>34642</t>
  </si>
  <si>
    <t>34649</t>
  </si>
  <si>
    <t>34648</t>
  </si>
  <si>
    <t>34647</t>
  </si>
  <si>
    <t>34650</t>
  </si>
  <si>
    <t xml:space="preserve">ALREADY </t>
  </si>
  <si>
    <t>33861</t>
  </si>
  <si>
    <t>34651</t>
  </si>
  <si>
    <t>33874</t>
  </si>
  <si>
    <t xml:space="preserve">VICKY </t>
  </si>
  <si>
    <t>JOBANJEET SINGH</t>
  </si>
  <si>
    <t xml:space="preserve">SIKANDER </t>
  </si>
  <si>
    <t xml:space="preserve">SUKHWINDER </t>
  </si>
  <si>
    <t>PATAN DEEN</t>
  </si>
  <si>
    <t xml:space="preserve">AJAY DAHARIYA </t>
  </si>
  <si>
    <t>RAVINDER  SINGH</t>
  </si>
  <si>
    <t>SANT RAM</t>
  </si>
  <si>
    <t xml:space="preserve">RAKESH </t>
  </si>
  <si>
    <t xml:space="preserve">MOHIT </t>
  </si>
  <si>
    <t xml:space="preserve">ASHOK </t>
  </si>
  <si>
    <t>`P</t>
  </si>
  <si>
    <t xml:space="preserve">    OBHS Attendance sheet of 14680/79                                           (Rake-01)                                                                     Month:- Jun-2026                                                                                                             Site Name:- Amritsar OBHS (Attendance Day Per trip:- 02)</t>
  </si>
  <si>
    <t xml:space="preserve">    OBHS Attendance sheet of 14680/79                                        (Rake-02)                                                                     Month:- Jun-2026                                                                                                             Site Name:- Amritsar OBHS (Attendance Day Per trip:- 02)</t>
  </si>
  <si>
    <t xml:space="preserve">    OBHS Attendance sheet of 22488/87                                       (Rake-01)                                                                     Month:- Jun-2026                                                              Site Name:- Amritsar OBHS (Attendance Day Per trip:- 01)</t>
  </si>
  <si>
    <t xml:space="preserve">    OBHS Attendance sheet of 14650/49                                       (Rake-01)                                                                     Month:- Jun-2026                                                                            Site Name:- Amritsar OBHS (Attendance Day Per trip:- 04)</t>
  </si>
  <si>
    <t xml:space="preserve">    OBHS Attendance sheet of 14650/49                                       (Rake-02)                                                                     Month:- Jun-2026                                                                         Site Name:- Amritsar OBHS (Attendance Day Per trip:- 04)</t>
  </si>
  <si>
    <t xml:space="preserve">    OBHS Attendance sheet of 14674/73                                       (Rake-01)                                                                     Month:- Jun-2026                                                   Site Name:- Amritsar OBHS (Attendance Day Per trip:- 04)</t>
  </si>
  <si>
    <t xml:space="preserve">    OBHS Attendance sheet of 14674-73                                  (Rake-02)                                                                     Month:- Jun-2026                                                   Site Name:- Amritsar OBHS (Attendance Day Per trip:- 04)</t>
  </si>
  <si>
    <t xml:space="preserve">    OBHS Attendance sheet of 04652/51                                       (Rake-01)                                                                     Month:- Jun-2026                                                                                Site Name:- Amritsar OBHS (Attendance Day Per trip:- 04)</t>
  </si>
  <si>
    <t xml:space="preserve">    OBHS Attendance sheet of 04652/51                                       (Rake-02)                                                                     Month:- Jun-2026                                                   Site Name:- Amritsar OBHS (Attendance Day Per trip:- 04)</t>
  </si>
  <si>
    <t xml:space="preserve">    OBHS Attendance sheet of 14628-27                                                      (Rake-01)                                                                     Month:- Jun-2026                                                                                 Site Name:- Amritsar OBHS (Attendance Day Per trip:- 04)</t>
  </si>
  <si>
    <t xml:space="preserve">    OBHS Attendance sheet of 14616-15                                                  (Rake-01)                                                                     Month:- Jun-2026                                                   Site Name:- Amritsar OBHS (Attendance Day Per trip:- 02)</t>
  </si>
  <si>
    <t xml:space="preserve">    OBHS Attendance sheet of 04610/09                                 (Rake-01)                                                                     Month:- Jun-2026                                                   Site Name:- Amritsar OBHS (Attendance Day Per trip:- 04)</t>
  </si>
  <si>
    <t xml:space="preserve">    OBHS Attendance sheet of 04624/23                                                   (Rake-01)                                                                     Month:- Jun-2026                                                   Site Name:- Amritsar OBHS (Attendance Day Per trip:- 05)</t>
  </si>
  <si>
    <t xml:space="preserve">    OBHS Attendance sheet of 14664/63                                                     (Rake-01)                                                                     Month:- Jun-2026                                                                                                Site Name:- Amritsar OBHS (Attendance Day Per trip:- 04)</t>
  </si>
  <si>
    <t>34682</t>
  </si>
  <si>
    <t>34687</t>
  </si>
  <si>
    <t>34681</t>
  </si>
  <si>
    <t>34686</t>
  </si>
  <si>
    <t>34690</t>
  </si>
  <si>
    <t>34688</t>
  </si>
  <si>
    <t>34679</t>
  </si>
  <si>
    <t>34685</t>
  </si>
  <si>
    <t>34680</t>
  </si>
  <si>
    <t>33588</t>
  </si>
  <si>
    <t>34689</t>
  </si>
  <si>
    <t>34684</t>
  </si>
  <si>
    <t>34683</t>
  </si>
  <si>
    <t xml:space="preserve">    OBHS Attendance sheet of 12053-54                                           (Rake-01)                                                                     Month:- Jun-2026                                                                                                  Site Name:- Amritsar OBHS (Attendance Day Per trip:- 01)</t>
  </si>
  <si>
    <t xml:space="preserve">    OBHS Attendance sheet of 12204/03                              (Rake-02)                                                                     Month:- Jun-2026                                                                              Site Name:- Amritsar OBHS (Attendance Day Per trip:- 03)</t>
  </si>
  <si>
    <t xml:space="preserve">    OBHS Attendance sheet of 12204/03                                       (Rake-01)                                                                     Month:- Jun-2026                                                                                Site Name:- Amritsar OBHS (Attendance Day Per trip:- 03)</t>
  </si>
  <si>
    <t xml:space="preserve">BRAJESH KUMAR </t>
  </si>
  <si>
    <t>SHRAVAN KUMAR</t>
  </si>
  <si>
    <t xml:space="preserve">    OBHS Attendance sheet of 12484-83                                                (Rake-01)                                                                     Month:- Jun-2026                                                                                         Site Name:- Amritsar OBHS (Attendance Day Per trip:- 06)</t>
  </si>
  <si>
    <t>STORE</t>
  </si>
  <si>
    <t>34580</t>
  </si>
  <si>
    <t>MANISH KUMAR</t>
  </si>
  <si>
    <t xml:space="preserve">UPENDRA KUMAR </t>
  </si>
  <si>
    <t>04624/23</t>
  </si>
  <si>
    <t>Staff Board from Delhi salary Paid to Cash</t>
  </si>
  <si>
    <t>DELHI</t>
  </si>
  <si>
    <t xml:space="preserve">Total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</si>
</sst>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18"/>
      <name val="Cambria"/>
      <family val="1"/>
      <scheme val="maj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8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8"/>
      <color theme="1"/>
      <name val="Cambria"/>
      <family val="1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right" vertical="center"/>
    </xf>
    <xf numFmtId="43" fontId="5" fillId="0" borderId="0" xfId="1" applyFont="1" applyAlignment="1">
      <alignment vertical="center"/>
    </xf>
    <xf numFmtId="43" fontId="5" fillId="0" borderId="1" xfId="1" applyFont="1" applyBorder="1" applyAlignment="1">
      <alignment vertical="center"/>
    </xf>
    <xf numFmtId="43" fontId="5" fillId="0" borderId="1" xfId="0" applyNumberFormat="1" applyFont="1" applyBorder="1" applyAlignment="1">
      <alignment vertical="center"/>
    </xf>
    <xf numFmtId="164" fontId="14" fillId="0" borderId="1" xfId="1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3" fontId="4" fillId="0" borderId="1" xfId="0" applyNumberFormat="1" applyFont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43" fontId="14" fillId="0" borderId="1" xfId="0" applyNumberFormat="1" applyFont="1" applyBorder="1" applyAlignment="1">
      <alignment vertical="center"/>
    </xf>
    <xf numFmtId="43" fontId="5" fillId="0" borderId="4" xfId="1" applyFont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6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4" fontId="5" fillId="0" borderId="2" xfId="1" applyNumberFormat="1" applyFont="1" applyBorder="1" applyAlignment="1">
      <alignment horizontal="right" vertical="center"/>
    </xf>
    <xf numFmtId="0" fontId="5" fillId="7" borderId="4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vertical="center"/>
    </xf>
    <xf numFmtId="43" fontId="5" fillId="0" borderId="1" xfId="0" applyNumberFormat="1" applyFont="1" applyBorder="1" applyAlignment="1">
      <alignment horizontal="center" vertical="center"/>
    </xf>
    <xf numFmtId="43" fontId="14" fillId="0" borderId="1" xfId="1" applyFont="1" applyBorder="1" applyAlignment="1">
      <alignment horizontal="center" vertical="center"/>
    </xf>
    <xf numFmtId="43" fontId="14" fillId="0" borderId="4" xfId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43" fontId="7" fillId="2" borderId="1" xfId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15" borderId="8" xfId="0" applyFont="1" applyFill="1" applyBorder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15" borderId="0" xfId="0" applyFont="1" applyFill="1" applyBorder="1"/>
    <xf numFmtId="0" fontId="0" fillId="7" borderId="0" xfId="0" applyFill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7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7" fillId="16" borderId="1" xfId="0" applyFont="1" applyFill="1" applyBorder="1" applyAlignment="1">
      <alignment vertical="center"/>
    </xf>
    <xf numFmtId="0" fontId="7" fillId="17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7" fillId="7" borderId="1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vertical="center"/>
    </xf>
    <xf numFmtId="43" fontId="7" fillId="7" borderId="1" xfId="1" applyFont="1" applyFill="1" applyBorder="1" applyAlignment="1">
      <alignment horizontal="center" vertical="center"/>
    </xf>
    <xf numFmtId="43" fontId="7" fillId="2" borderId="1" xfId="1" applyFont="1" applyFill="1" applyBorder="1" applyAlignment="1">
      <alignment vertical="center"/>
    </xf>
    <xf numFmtId="0" fontId="7" fillId="20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vertical="center"/>
    </xf>
    <xf numFmtId="0" fontId="7" fillId="20" borderId="1" xfId="0" applyFont="1" applyFill="1" applyBorder="1" applyAlignment="1">
      <alignment vertical="center"/>
    </xf>
    <xf numFmtId="0" fontId="7" fillId="21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43" fontId="5" fillId="20" borderId="4" xfId="1" applyFont="1" applyFill="1" applyBorder="1" applyAlignment="1">
      <alignment vertical="center"/>
    </xf>
    <xf numFmtId="43" fontId="5" fillId="20" borderId="1" xfId="1" applyFont="1" applyFill="1" applyBorder="1" applyAlignment="1">
      <alignment vertical="center"/>
    </xf>
    <xf numFmtId="0" fontId="7" fillId="20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43" fontId="6" fillId="0" borderId="0" xfId="1" applyFont="1" applyAlignment="1">
      <alignment vertical="center"/>
    </xf>
    <xf numFmtId="43" fontId="6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</cellXfs>
  <cellStyles count="2">
    <cellStyle name="Comma" xfId="1" builtinId="3"/>
    <cellStyle name="Normal" xfId="0" builtinId="0"/>
  </cellStyles>
  <dxfs count="33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249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C3" sqref="C3"/>
    </sheetView>
  </sheetViews>
  <sheetFormatPr defaultRowHeight="14.4" x14ac:dyDescent="0.3"/>
  <cols>
    <col min="1" max="1" width="3.109375" customWidth="1"/>
    <col min="2" max="2" width="4.21875" customWidth="1"/>
    <col min="3" max="3" width="9.33203125" style="18" customWidth="1"/>
    <col min="4" max="5" width="20.6640625" style="152" customWidth="1"/>
    <col min="6" max="35" width="4.33203125" style="1" hidden="1" customWidth="1"/>
    <col min="36" max="36" width="6.109375" style="23" hidden="1" customWidth="1"/>
    <col min="37" max="37" width="6.109375" style="23" customWidth="1"/>
    <col min="38" max="38" width="12.44140625" style="180" customWidth="1"/>
  </cols>
  <sheetData>
    <row r="1" spans="2:38" ht="16.2" customHeight="1" x14ac:dyDescent="0.3"/>
    <row r="2" spans="2:38" s="23" customFormat="1" ht="24" customHeight="1" x14ac:dyDescent="0.3">
      <c r="B2" s="108" t="s">
        <v>466</v>
      </c>
      <c r="C2" s="73" t="s">
        <v>482</v>
      </c>
      <c r="D2" s="157" t="s">
        <v>483</v>
      </c>
      <c r="E2" s="157" t="s">
        <v>712</v>
      </c>
      <c r="F2" s="151">
        <v>1</v>
      </c>
      <c r="G2" s="151">
        <v>2</v>
      </c>
      <c r="H2" s="151">
        <v>3</v>
      </c>
      <c r="I2" s="151">
        <v>4</v>
      </c>
      <c r="J2" s="151">
        <v>5</v>
      </c>
      <c r="K2" s="151">
        <v>6</v>
      </c>
      <c r="L2" s="151">
        <v>7</v>
      </c>
      <c r="M2" s="151">
        <v>8</v>
      </c>
      <c r="N2" s="151">
        <v>9</v>
      </c>
      <c r="O2" s="151">
        <v>10</v>
      </c>
      <c r="P2" s="151">
        <v>11</v>
      </c>
      <c r="Q2" s="151">
        <v>12</v>
      </c>
      <c r="R2" s="151">
        <v>13</v>
      </c>
      <c r="S2" s="151">
        <v>14</v>
      </c>
      <c r="T2" s="151">
        <v>15</v>
      </c>
      <c r="U2" s="151">
        <v>16</v>
      </c>
      <c r="V2" s="151">
        <v>17</v>
      </c>
      <c r="W2" s="151">
        <v>18</v>
      </c>
      <c r="X2" s="151">
        <v>19</v>
      </c>
      <c r="Y2" s="151">
        <v>20</v>
      </c>
      <c r="Z2" s="151">
        <v>21</v>
      </c>
      <c r="AA2" s="151">
        <v>22</v>
      </c>
      <c r="AB2" s="151">
        <v>23</v>
      </c>
      <c r="AC2" s="151">
        <v>24</v>
      </c>
      <c r="AD2" s="151">
        <v>25</v>
      </c>
      <c r="AE2" s="151">
        <v>26</v>
      </c>
      <c r="AF2" s="151">
        <v>27</v>
      </c>
      <c r="AG2" s="151">
        <v>28</v>
      </c>
      <c r="AH2" s="151">
        <v>29</v>
      </c>
      <c r="AI2" s="151">
        <v>30</v>
      </c>
      <c r="AJ2" s="73" t="s">
        <v>713</v>
      </c>
      <c r="AK2" s="178" t="s">
        <v>823</v>
      </c>
      <c r="AL2" s="179" t="s">
        <v>473</v>
      </c>
    </row>
    <row r="3" spans="2:38" ht="16.05" customHeight="1" x14ac:dyDescent="0.3">
      <c r="B3" s="109">
        <v>1</v>
      </c>
      <c r="C3" s="168" t="s">
        <v>123</v>
      </c>
      <c r="D3" s="43" t="s">
        <v>132</v>
      </c>
      <c r="E3" s="43" t="s">
        <v>133</v>
      </c>
      <c r="F3" s="10" t="s">
        <v>48</v>
      </c>
      <c r="G3" s="10" t="s">
        <v>48</v>
      </c>
      <c r="H3" s="10" t="s">
        <v>48</v>
      </c>
      <c r="I3" s="10"/>
      <c r="J3" s="10" t="s">
        <v>48</v>
      </c>
      <c r="K3" s="10" t="s">
        <v>48</v>
      </c>
      <c r="L3" s="10" t="s">
        <v>48</v>
      </c>
      <c r="M3" s="10" t="s">
        <v>48</v>
      </c>
      <c r="N3" s="10" t="s">
        <v>48</v>
      </c>
      <c r="O3" s="10" t="s">
        <v>48</v>
      </c>
      <c r="P3" s="10"/>
      <c r="Q3" s="10" t="s">
        <v>48</v>
      </c>
      <c r="R3" s="10" t="s">
        <v>48</v>
      </c>
      <c r="S3" s="10" t="s">
        <v>48</v>
      </c>
      <c r="T3" s="10" t="s">
        <v>48</v>
      </c>
      <c r="U3" s="10"/>
      <c r="V3" s="10"/>
      <c r="W3" s="10"/>
      <c r="X3" s="10"/>
      <c r="Y3" s="10"/>
      <c r="Z3" s="10" t="s">
        <v>48</v>
      </c>
      <c r="AA3" s="10" t="s">
        <v>48</v>
      </c>
      <c r="AB3" s="10" t="s">
        <v>48</v>
      </c>
      <c r="AC3" s="10" t="s">
        <v>48</v>
      </c>
      <c r="AD3" s="10"/>
      <c r="AE3" s="10" t="s">
        <v>48</v>
      </c>
      <c r="AF3" s="10" t="s">
        <v>48</v>
      </c>
      <c r="AG3" s="10"/>
      <c r="AH3" s="10" t="s">
        <v>48</v>
      </c>
      <c r="AI3" s="10" t="s">
        <v>48</v>
      </c>
      <c r="AJ3" s="73">
        <f t="shared" ref="AJ3:AJ57" si="0">COUNTIF(F3:AI3,"p")+COUNTIF(F3:AI3,"pp")+COUNTIF(F3:AI3,"pp")</f>
        <v>21</v>
      </c>
      <c r="AK3" s="73">
        <v>21</v>
      </c>
      <c r="AL3" s="181">
        <v>11550</v>
      </c>
    </row>
    <row r="4" spans="2:38" ht="16.05" customHeight="1" x14ac:dyDescent="0.3">
      <c r="B4" s="109">
        <v>2</v>
      </c>
      <c r="C4" s="173" t="s">
        <v>361</v>
      </c>
      <c r="D4" s="42" t="s">
        <v>359</v>
      </c>
      <c r="E4" s="42" t="s">
        <v>360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 t="s">
        <v>48</v>
      </c>
      <c r="R4" s="10" t="s">
        <v>48</v>
      </c>
      <c r="S4" s="10" t="s">
        <v>48</v>
      </c>
      <c r="T4" s="10" t="s">
        <v>48</v>
      </c>
      <c r="U4" s="10"/>
      <c r="V4" s="10" t="s">
        <v>48</v>
      </c>
      <c r="W4" s="10" t="s">
        <v>48</v>
      </c>
      <c r="X4" s="10" t="s">
        <v>48</v>
      </c>
      <c r="Y4" s="10" t="s">
        <v>48</v>
      </c>
      <c r="Z4" s="10" t="s">
        <v>48</v>
      </c>
      <c r="AA4" s="10" t="s">
        <v>48</v>
      </c>
      <c r="AB4" s="10" t="s">
        <v>48</v>
      </c>
      <c r="AC4" s="10" t="s">
        <v>48</v>
      </c>
      <c r="AD4" s="10"/>
      <c r="AE4" s="10" t="s">
        <v>48</v>
      </c>
      <c r="AF4" s="10" t="s">
        <v>48</v>
      </c>
      <c r="AG4" s="10" t="s">
        <v>48</v>
      </c>
      <c r="AH4" s="10" t="s">
        <v>48</v>
      </c>
      <c r="AI4" s="10"/>
      <c r="AJ4" s="73">
        <f t="shared" si="0"/>
        <v>16</v>
      </c>
      <c r="AK4" s="73">
        <v>16</v>
      </c>
      <c r="AL4" s="181">
        <v>8800</v>
      </c>
    </row>
    <row r="5" spans="2:38" ht="16.05" customHeight="1" x14ac:dyDescent="0.3">
      <c r="B5" s="109">
        <v>3</v>
      </c>
      <c r="C5" s="168" t="s">
        <v>98</v>
      </c>
      <c r="D5" s="43" t="s">
        <v>112</v>
      </c>
      <c r="E5" s="43" t="s">
        <v>113</v>
      </c>
      <c r="F5" s="10" t="s">
        <v>48</v>
      </c>
      <c r="G5" s="10" t="s">
        <v>48</v>
      </c>
      <c r="H5" s="10" t="s">
        <v>48</v>
      </c>
      <c r="I5" s="10" t="s">
        <v>48</v>
      </c>
      <c r="J5" s="10"/>
      <c r="K5" s="10" t="s">
        <v>48</v>
      </c>
      <c r="L5" s="10" t="s">
        <v>412</v>
      </c>
      <c r="M5" s="10" t="s">
        <v>48</v>
      </c>
      <c r="N5" s="10" t="s">
        <v>48</v>
      </c>
      <c r="O5" s="10" t="s">
        <v>48</v>
      </c>
      <c r="P5" s="10" t="s">
        <v>48</v>
      </c>
      <c r="Q5" s="10"/>
      <c r="R5" s="10" t="s">
        <v>48</v>
      </c>
      <c r="S5" s="10" t="s">
        <v>48</v>
      </c>
      <c r="T5" s="10" t="s">
        <v>412</v>
      </c>
      <c r="U5" s="10" t="s">
        <v>48</v>
      </c>
      <c r="V5" s="10" t="s">
        <v>48</v>
      </c>
      <c r="W5" s="10" t="s">
        <v>48</v>
      </c>
      <c r="X5" s="10"/>
      <c r="Y5" s="10" t="s">
        <v>48</v>
      </c>
      <c r="Z5" s="10" t="s">
        <v>48</v>
      </c>
      <c r="AA5" s="10" t="s">
        <v>48</v>
      </c>
      <c r="AB5" s="10" t="s">
        <v>48</v>
      </c>
      <c r="AC5" s="10" t="s">
        <v>48</v>
      </c>
      <c r="AD5" s="10" t="s">
        <v>48</v>
      </c>
      <c r="AE5" s="10"/>
      <c r="AF5" s="10" t="s">
        <v>48</v>
      </c>
      <c r="AG5" s="10" t="s">
        <v>48</v>
      </c>
      <c r="AH5" s="10" t="s">
        <v>48</v>
      </c>
      <c r="AI5" s="10" t="s">
        <v>48</v>
      </c>
      <c r="AJ5" s="73">
        <f t="shared" si="0"/>
        <v>28</v>
      </c>
      <c r="AK5" s="73">
        <v>28</v>
      </c>
      <c r="AL5" s="181">
        <v>15400</v>
      </c>
    </row>
    <row r="6" spans="2:38" ht="16.05" customHeight="1" x14ac:dyDescent="0.3">
      <c r="B6" s="109">
        <v>4</v>
      </c>
      <c r="C6" s="173" t="s">
        <v>101</v>
      </c>
      <c r="D6" s="42" t="s">
        <v>267</v>
      </c>
      <c r="E6" s="42" t="s">
        <v>119</v>
      </c>
      <c r="F6" s="110" t="s">
        <v>48</v>
      </c>
      <c r="G6" s="110" t="s">
        <v>48</v>
      </c>
      <c r="H6" s="110" t="s">
        <v>48</v>
      </c>
      <c r="I6" s="110" t="s">
        <v>48</v>
      </c>
      <c r="J6" s="10"/>
      <c r="K6" s="10"/>
      <c r="L6" s="110" t="s">
        <v>48</v>
      </c>
      <c r="M6" s="110" t="s">
        <v>48</v>
      </c>
      <c r="N6" s="110" t="s">
        <v>48</v>
      </c>
      <c r="O6" s="110" t="s">
        <v>48</v>
      </c>
      <c r="P6" s="110" t="s">
        <v>48</v>
      </c>
      <c r="Q6" s="10"/>
      <c r="R6" s="110" t="s">
        <v>48</v>
      </c>
      <c r="S6" s="110" t="s">
        <v>48</v>
      </c>
      <c r="T6" s="110" t="s">
        <v>48</v>
      </c>
      <c r="U6" s="110" t="s">
        <v>48</v>
      </c>
      <c r="V6" s="110" t="s">
        <v>48</v>
      </c>
      <c r="W6" s="110" t="s">
        <v>48</v>
      </c>
      <c r="X6" s="10"/>
      <c r="Y6" s="110" t="s">
        <v>48</v>
      </c>
      <c r="Z6" s="110" t="s">
        <v>412</v>
      </c>
      <c r="AA6" s="110" t="s">
        <v>48</v>
      </c>
      <c r="AB6" s="110" t="s">
        <v>48</v>
      </c>
      <c r="AC6" s="110" t="s">
        <v>48</v>
      </c>
      <c r="AD6" s="110" t="s">
        <v>48</v>
      </c>
      <c r="AE6" s="10"/>
      <c r="AF6" s="110" t="s">
        <v>48</v>
      </c>
      <c r="AG6" s="110" t="s">
        <v>48</v>
      </c>
      <c r="AH6" s="110" t="s">
        <v>48</v>
      </c>
      <c r="AI6" s="110" t="s">
        <v>48</v>
      </c>
      <c r="AJ6" s="73">
        <f t="shared" si="0"/>
        <v>26</v>
      </c>
      <c r="AK6" s="73">
        <v>26</v>
      </c>
      <c r="AL6" s="181">
        <v>14300</v>
      </c>
    </row>
    <row r="7" spans="2:38" ht="16.05" customHeight="1" x14ac:dyDescent="0.3">
      <c r="B7" s="109">
        <v>5</v>
      </c>
      <c r="C7" s="168" t="s">
        <v>679</v>
      </c>
      <c r="D7" s="43" t="s">
        <v>108</v>
      </c>
      <c r="E7" s="43" t="s">
        <v>109</v>
      </c>
      <c r="F7" s="10" t="s">
        <v>48</v>
      </c>
      <c r="G7" s="10" t="s">
        <v>48</v>
      </c>
      <c r="H7" s="10" t="s">
        <v>48</v>
      </c>
      <c r="I7" s="10" t="s">
        <v>48</v>
      </c>
      <c r="J7" s="10"/>
      <c r="K7" s="10" t="s">
        <v>48</v>
      </c>
      <c r="L7" s="10" t="s">
        <v>48</v>
      </c>
      <c r="M7" s="10" t="s">
        <v>48</v>
      </c>
      <c r="N7" s="10" t="s">
        <v>48</v>
      </c>
      <c r="O7" s="10" t="s">
        <v>412</v>
      </c>
      <c r="P7" s="10" t="s">
        <v>48</v>
      </c>
      <c r="Q7" s="10"/>
      <c r="R7" s="10" t="s">
        <v>48</v>
      </c>
      <c r="S7" s="10" t="s">
        <v>48</v>
      </c>
      <c r="T7" s="10" t="s">
        <v>48</v>
      </c>
      <c r="U7" s="10" t="s">
        <v>48</v>
      </c>
      <c r="V7" s="10" t="s">
        <v>48</v>
      </c>
      <c r="W7" s="10"/>
      <c r="X7" s="10"/>
      <c r="Y7" s="10" t="s">
        <v>48</v>
      </c>
      <c r="Z7" s="10" t="s">
        <v>48</v>
      </c>
      <c r="AA7" s="10" t="s">
        <v>48</v>
      </c>
      <c r="AB7" s="10" t="s">
        <v>412</v>
      </c>
      <c r="AC7" s="10" t="s">
        <v>48</v>
      </c>
      <c r="AD7" s="10" t="s">
        <v>48</v>
      </c>
      <c r="AE7" s="10"/>
      <c r="AF7" s="10" t="s">
        <v>48</v>
      </c>
      <c r="AG7" s="10" t="s">
        <v>48</v>
      </c>
      <c r="AH7" s="10" t="s">
        <v>412</v>
      </c>
      <c r="AI7" s="10" t="s">
        <v>48</v>
      </c>
      <c r="AJ7" s="73">
        <f t="shared" si="0"/>
        <v>28</v>
      </c>
      <c r="AK7" s="73">
        <v>28</v>
      </c>
      <c r="AL7" s="181">
        <v>15400</v>
      </c>
    </row>
    <row r="8" spans="2:38" ht="16.05" customHeight="1" x14ac:dyDescent="0.3">
      <c r="B8" s="109">
        <v>6</v>
      </c>
      <c r="C8" s="173" t="s">
        <v>95</v>
      </c>
      <c r="D8" s="42" t="s">
        <v>104</v>
      </c>
      <c r="E8" s="42" t="s">
        <v>105</v>
      </c>
      <c r="F8" s="110" t="s">
        <v>48</v>
      </c>
      <c r="G8" s="110" t="s">
        <v>48</v>
      </c>
      <c r="H8" s="110" t="s">
        <v>412</v>
      </c>
      <c r="I8" s="110" t="s">
        <v>48</v>
      </c>
      <c r="J8" s="10"/>
      <c r="K8" s="110" t="s">
        <v>48</v>
      </c>
      <c r="L8" s="110" t="s">
        <v>48</v>
      </c>
      <c r="M8" s="110" t="s">
        <v>48</v>
      </c>
      <c r="N8" s="110" t="s">
        <v>48</v>
      </c>
      <c r="O8" s="110" t="s">
        <v>48</v>
      </c>
      <c r="P8" s="110" t="s">
        <v>48</v>
      </c>
      <c r="Q8" s="10"/>
      <c r="R8" s="110" t="s">
        <v>48</v>
      </c>
      <c r="S8" s="110" t="s">
        <v>48</v>
      </c>
      <c r="T8" s="110" t="s">
        <v>48</v>
      </c>
      <c r="U8" s="110" t="s">
        <v>48</v>
      </c>
      <c r="V8" s="110" t="s">
        <v>48</v>
      </c>
      <c r="W8" s="110" t="s">
        <v>48</v>
      </c>
      <c r="X8" s="10"/>
      <c r="Y8" s="110" t="s">
        <v>48</v>
      </c>
      <c r="Z8" s="110" t="s">
        <v>48</v>
      </c>
      <c r="AA8" s="110" t="s">
        <v>48</v>
      </c>
      <c r="AB8" s="110" t="s">
        <v>48</v>
      </c>
      <c r="AC8" s="110" t="s">
        <v>48</v>
      </c>
      <c r="AD8" s="110" t="s">
        <v>48</v>
      </c>
      <c r="AE8" s="10"/>
      <c r="AF8" s="110" t="s">
        <v>48</v>
      </c>
      <c r="AG8" s="110" t="s">
        <v>48</v>
      </c>
      <c r="AH8" s="110" t="s">
        <v>48</v>
      </c>
      <c r="AI8" s="110" t="s">
        <v>48</v>
      </c>
      <c r="AJ8" s="73">
        <f t="shared" si="0"/>
        <v>27</v>
      </c>
      <c r="AK8" s="73">
        <v>27</v>
      </c>
      <c r="AL8" s="181">
        <v>15800</v>
      </c>
    </row>
    <row r="9" spans="2:38" ht="16.05" customHeight="1" x14ac:dyDescent="0.3">
      <c r="B9" s="109">
        <v>7</v>
      </c>
      <c r="C9" s="168" t="s">
        <v>228</v>
      </c>
      <c r="D9" s="43" t="s">
        <v>229</v>
      </c>
      <c r="E9" s="43" t="s">
        <v>93</v>
      </c>
      <c r="F9" s="10" t="s">
        <v>48</v>
      </c>
      <c r="G9" s="10"/>
      <c r="H9" s="10"/>
      <c r="I9" s="10"/>
      <c r="J9" s="10"/>
      <c r="K9" s="10" t="s">
        <v>48</v>
      </c>
      <c r="L9" s="10" t="s">
        <v>48</v>
      </c>
      <c r="M9" s="10" t="s">
        <v>48</v>
      </c>
      <c r="N9" s="10" t="s">
        <v>48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 t="s">
        <v>48</v>
      </c>
      <c r="AF9" s="10" t="s">
        <v>48</v>
      </c>
      <c r="AG9" s="10" t="s">
        <v>48</v>
      </c>
      <c r="AH9" s="10" t="s">
        <v>48</v>
      </c>
      <c r="AI9" s="10" t="s">
        <v>48</v>
      </c>
      <c r="AJ9" s="73">
        <f t="shared" si="0"/>
        <v>10</v>
      </c>
      <c r="AK9" s="73">
        <v>10</v>
      </c>
      <c r="AL9" s="181">
        <v>5500</v>
      </c>
    </row>
    <row r="10" spans="2:38" ht="16.05" customHeight="1" x14ac:dyDescent="0.3">
      <c r="B10" s="109">
        <v>8</v>
      </c>
      <c r="C10" s="173" t="s">
        <v>680</v>
      </c>
      <c r="D10" s="42" t="s">
        <v>285</v>
      </c>
      <c r="E10" s="42" t="s">
        <v>286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 t="s">
        <v>48</v>
      </c>
      <c r="S10" s="10" t="s">
        <v>48</v>
      </c>
      <c r="T10" s="10" t="s">
        <v>48</v>
      </c>
      <c r="U10" s="10" t="s">
        <v>48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 t="s">
        <v>48</v>
      </c>
      <c r="AI10" s="10" t="s">
        <v>48</v>
      </c>
      <c r="AJ10" s="73">
        <f t="shared" si="0"/>
        <v>6</v>
      </c>
      <c r="AK10" s="73">
        <v>6</v>
      </c>
      <c r="AL10" s="181">
        <v>3600</v>
      </c>
    </row>
    <row r="11" spans="2:38" ht="16.05" customHeight="1" x14ac:dyDescent="0.3">
      <c r="B11" s="109">
        <v>9</v>
      </c>
      <c r="C11" s="168" t="s">
        <v>217</v>
      </c>
      <c r="D11" s="43" t="s">
        <v>73</v>
      </c>
      <c r="E11" s="43" t="s">
        <v>218</v>
      </c>
      <c r="F11" s="10" t="s">
        <v>48</v>
      </c>
      <c r="G11" s="10" t="s">
        <v>48</v>
      </c>
      <c r="H11" s="10" t="s">
        <v>48</v>
      </c>
      <c r="I11" s="10" t="s">
        <v>48</v>
      </c>
      <c r="J11" s="10" t="s">
        <v>48</v>
      </c>
      <c r="K11" s="10" t="s">
        <v>48</v>
      </c>
      <c r="L11" s="10" t="s">
        <v>48</v>
      </c>
      <c r="M11" s="10" t="s">
        <v>48</v>
      </c>
      <c r="N11" s="10" t="s">
        <v>48</v>
      </c>
      <c r="O11" s="10" t="s">
        <v>48</v>
      </c>
      <c r="P11" s="10" t="s">
        <v>48</v>
      </c>
      <c r="Q11" s="10"/>
      <c r="R11" s="10"/>
      <c r="S11" s="10"/>
      <c r="T11" s="10" t="s">
        <v>48</v>
      </c>
      <c r="U11" s="10" t="s">
        <v>48</v>
      </c>
      <c r="V11" s="10" t="s">
        <v>48</v>
      </c>
      <c r="W11" s="10" t="s">
        <v>48</v>
      </c>
      <c r="X11" s="10" t="s">
        <v>48</v>
      </c>
      <c r="Y11" s="10"/>
      <c r="Z11" s="10"/>
      <c r="AA11" s="10" t="s">
        <v>48</v>
      </c>
      <c r="AB11" s="10" t="s">
        <v>48</v>
      </c>
      <c r="AC11" s="10" t="s">
        <v>48</v>
      </c>
      <c r="AD11" s="10" t="s">
        <v>48</v>
      </c>
      <c r="AE11" s="10" t="s">
        <v>48</v>
      </c>
      <c r="AF11" s="10" t="s">
        <v>48</v>
      </c>
      <c r="AG11" s="10"/>
      <c r="AH11" s="10" t="s">
        <v>48</v>
      </c>
      <c r="AI11" s="10" t="s">
        <v>48</v>
      </c>
      <c r="AJ11" s="73">
        <f t="shared" si="0"/>
        <v>24</v>
      </c>
      <c r="AK11" s="73">
        <v>24</v>
      </c>
      <c r="AL11" s="181">
        <v>13200</v>
      </c>
    </row>
    <row r="12" spans="2:38" ht="16.05" customHeight="1" x14ac:dyDescent="0.3">
      <c r="B12" s="109">
        <v>10</v>
      </c>
      <c r="C12" s="173" t="s">
        <v>427</v>
      </c>
      <c r="D12" s="42" t="s">
        <v>280</v>
      </c>
      <c r="E12" s="42" t="s">
        <v>281</v>
      </c>
      <c r="F12" s="110" t="s">
        <v>48</v>
      </c>
      <c r="G12" s="110" t="s">
        <v>48</v>
      </c>
      <c r="H12" s="10"/>
      <c r="I12" s="10"/>
      <c r="J12" s="10"/>
      <c r="K12" s="10" t="s">
        <v>48</v>
      </c>
      <c r="L12" s="10" t="s">
        <v>48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73">
        <f t="shared" si="0"/>
        <v>4</v>
      </c>
      <c r="AK12" s="73">
        <v>4</v>
      </c>
      <c r="AL12" s="181">
        <v>2400</v>
      </c>
    </row>
    <row r="13" spans="2:38" ht="16.05" customHeight="1" x14ac:dyDescent="0.3">
      <c r="B13" s="109">
        <v>11</v>
      </c>
      <c r="C13" s="168" t="s">
        <v>401</v>
      </c>
      <c r="D13" s="43" t="s">
        <v>399</v>
      </c>
      <c r="E13" s="43" t="s">
        <v>400</v>
      </c>
      <c r="F13" s="10" t="s">
        <v>48</v>
      </c>
      <c r="G13" s="10" t="s">
        <v>48</v>
      </c>
      <c r="H13" s="10"/>
      <c r="I13" s="10" t="s">
        <v>48</v>
      </c>
      <c r="J13" s="10" t="s">
        <v>48</v>
      </c>
      <c r="K13" s="10" t="s">
        <v>48</v>
      </c>
      <c r="L13" s="10" t="s">
        <v>48</v>
      </c>
      <c r="M13" s="10"/>
      <c r="N13" s="10"/>
      <c r="O13" s="10"/>
      <c r="P13" s="10"/>
      <c r="Q13" s="10" t="s">
        <v>48</v>
      </c>
      <c r="R13" s="10" t="s">
        <v>48</v>
      </c>
      <c r="S13" s="10" t="s">
        <v>48</v>
      </c>
      <c r="T13" s="10" t="s">
        <v>48</v>
      </c>
      <c r="U13" s="10"/>
      <c r="V13" s="10"/>
      <c r="W13" s="10" t="s">
        <v>48</v>
      </c>
      <c r="X13" s="10" t="s">
        <v>48</v>
      </c>
      <c r="Y13" s="10" t="s">
        <v>48</v>
      </c>
      <c r="Z13" s="10" t="s">
        <v>48</v>
      </c>
      <c r="AA13" s="10"/>
      <c r="AB13" s="10"/>
      <c r="AC13" s="10" t="s">
        <v>48</v>
      </c>
      <c r="AD13" s="10" t="s">
        <v>48</v>
      </c>
      <c r="AE13" s="10" t="s">
        <v>48</v>
      </c>
      <c r="AF13" s="10" t="s">
        <v>48</v>
      </c>
      <c r="AG13" s="10"/>
      <c r="AH13" s="10"/>
      <c r="AI13" s="10"/>
      <c r="AJ13" s="73">
        <f t="shared" si="0"/>
        <v>18</v>
      </c>
      <c r="AK13" s="73">
        <v>18</v>
      </c>
      <c r="AL13" s="181">
        <v>9900</v>
      </c>
    </row>
    <row r="14" spans="2:38" ht="16.05" customHeight="1" x14ac:dyDescent="0.3">
      <c r="B14" s="109">
        <v>12</v>
      </c>
      <c r="C14" s="173" t="s">
        <v>125</v>
      </c>
      <c r="D14" s="42" t="s">
        <v>136</v>
      </c>
      <c r="E14" s="42" t="s">
        <v>137</v>
      </c>
      <c r="F14" s="110" t="s">
        <v>48</v>
      </c>
      <c r="G14" s="110" t="s">
        <v>48</v>
      </c>
      <c r="H14" s="110" t="s">
        <v>48</v>
      </c>
      <c r="I14" s="10"/>
      <c r="J14" s="10"/>
      <c r="K14" s="110" t="s">
        <v>48</v>
      </c>
      <c r="L14" s="110" t="s">
        <v>48</v>
      </c>
      <c r="M14" s="110" t="s">
        <v>48</v>
      </c>
      <c r="N14" s="110" t="s">
        <v>48</v>
      </c>
      <c r="O14" s="110" t="s">
        <v>48</v>
      </c>
      <c r="P14" s="110"/>
      <c r="Q14" s="110" t="s">
        <v>48</v>
      </c>
      <c r="R14" s="110" t="s">
        <v>48</v>
      </c>
      <c r="S14" s="110" t="s">
        <v>48</v>
      </c>
      <c r="T14" s="10"/>
      <c r="U14" s="110" t="s">
        <v>48</v>
      </c>
      <c r="V14" s="110" t="s">
        <v>48</v>
      </c>
      <c r="W14" s="10"/>
      <c r="X14" s="110" t="s">
        <v>48</v>
      </c>
      <c r="Y14" s="110" t="s">
        <v>48</v>
      </c>
      <c r="Z14" s="110" t="s">
        <v>48</v>
      </c>
      <c r="AA14" s="10"/>
      <c r="AB14" s="110" t="s">
        <v>48</v>
      </c>
      <c r="AC14" s="10"/>
      <c r="AD14" s="10"/>
      <c r="AE14" s="10"/>
      <c r="AF14" s="10" t="s">
        <v>48</v>
      </c>
      <c r="AG14" s="10" t="s">
        <v>48</v>
      </c>
      <c r="AH14" s="10" t="s">
        <v>48</v>
      </c>
      <c r="AI14" s="10" t="s">
        <v>48</v>
      </c>
      <c r="AJ14" s="73">
        <f t="shared" si="0"/>
        <v>21</v>
      </c>
      <c r="AK14" s="73">
        <v>21</v>
      </c>
      <c r="AL14" s="181">
        <v>11550</v>
      </c>
    </row>
    <row r="15" spans="2:38" ht="16.05" customHeight="1" x14ac:dyDescent="0.3">
      <c r="B15" s="109">
        <v>13</v>
      </c>
      <c r="C15" s="168" t="s">
        <v>122</v>
      </c>
      <c r="D15" s="43" t="s">
        <v>130</v>
      </c>
      <c r="E15" s="43" t="s">
        <v>131</v>
      </c>
      <c r="F15" s="10"/>
      <c r="G15" s="10" t="s">
        <v>48</v>
      </c>
      <c r="H15" s="10" t="s">
        <v>48</v>
      </c>
      <c r="I15" s="10"/>
      <c r="J15" s="10" t="s">
        <v>48</v>
      </c>
      <c r="K15" s="10"/>
      <c r="L15" s="10" t="s">
        <v>48</v>
      </c>
      <c r="M15" s="10"/>
      <c r="N15" s="10"/>
      <c r="O15" s="10"/>
      <c r="P15" s="10"/>
      <c r="Q15" s="10"/>
      <c r="R15" s="10"/>
      <c r="S15" s="10"/>
      <c r="T15" s="10"/>
      <c r="U15" s="10" t="s">
        <v>48</v>
      </c>
      <c r="V15" s="10" t="s">
        <v>48</v>
      </c>
      <c r="W15" s="10"/>
      <c r="X15" s="10" t="s">
        <v>48</v>
      </c>
      <c r="Y15" s="10" t="s">
        <v>48</v>
      </c>
      <c r="Z15" s="10"/>
      <c r="AA15" s="10"/>
      <c r="AB15" s="10"/>
      <c r="AC15" s="10" t="s">
        <v>48</v>
      </c>
      <c r="AD15" s="10"/>
      <c r="AE15" s="10" t="s">
        <v>48</v>
      </c>
      <c r="AF15" s="10" t="s">
        <v>48</v>
      </c>
      <c r="AG15" s="10" t="s">
        <v>48</v>
      </c>
      <c r="AH15" s="10" t="s">
        <v>48</v>
      </c>
      <c r="AI15" s="10" t="s">
        <v>48</v>
      </c>
      <c r="AJ15" s="73">
        <f t="shared" si="0"/>
        <v>14</v>
      </c>
      <c r="AK15" s="73">
        <v>14</v>
      </c>
      <c r="AL15" s="181">
        <f>6600+1100</f>
        <v>7700</v>
      </c>
    </row>
    <row r="16" spans="2:38" ht="16.05" customHeight="1" x14ac:dyDescent="0.3">
      <c r="B16" s="109">
        <v>14</v>
      </c>
      <c r="C16" s="168" t="s">
        <v>563</v>
      </c>
      <c r="D16" s="43" t="s">
        <v>102</v>
      </c>
      <c r="E16" s="43" t="s">
        <v>103</v>
      </c>
      <c r="F16" s="10" t="s">
        <v>48</v>
      </c>
      <c r="G16" s="10" t="s">
        <v>48</v>
      </c>
      <c r="H16" s="10" t="s">
        <v>48</v>
      </c>
      <c r="I16" s="10" t="s">
        <v>48</v>
      </c>
      <c r="J16" s="10"/>
      <c r="K16" s="10" t="s">
        <v>48</v>
      </c>
      <c r="L16" s="10" t="s">
        <v>48</v>
      </c>
      <c r="M16" s="10" t="s">
        <v>48</v>
      </c>
      <c r="N16" s="10" t="s">
        <v>48</v>
      </c>
      <c r="O16" s="10" t="s">
        <v>48</v>
      </c>
      <c r="P16" s="10" t="s">
        <v>48</v>
      </c>
      <c r="Q16" s="10" t="s">
        <v>48</v>
      </c>
      <c r="R16" s="10"/>
      <c r="S16" s="10" t="s">
        <v>48</v>
      </c>
      <c r="T16" s="10" t="s">
        <v>48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 t="s">
        <v>412</v>
      </c>
      <c r="AJ16" s="73">
        <f t="shared" si="0"/>
        <v>15</v>
      </c>
      <c r="AK16" s="73">
        <v>15</v>
      </c>
      <c r="AL16" s="181">
        <v>8750</v>
      </c>
    </row>
    <row r="17" spans="2:38" ht="16.05" customHeight="1" x14ac:dyDescent="0.3">
      <c r="B17" s="109">
        <v>15</v>
      </c>
      <c r="C17" s="173" t="s">
        <v>265</v>
      </c>
      <c r="D17" s="42" t="s">
        <v>266</v>
      </c>
      <c r="E17" s="42" t="s">
        <v>267</v>
      </c>
      <c r="F17" s="110" t="s">
        <v>48</v>
      </c>
      <c r="G17" s="110" t="s">
        <v>48</v>
      </c>
      <c r="H17" s="110" t="s">
        <v>48</v>
      </c>
      <c r="I17" s="110" t="s">
        <v>48</v>
      </c>
      <c r="J17" s="110" t="s">
        <v>48</v>
      </c>
      <c r="K17" s="110" t="s">
        <v>48</v>
      </c>
      <c r="L17" s="110" t="s">
        <v>48</v>
      </c>
      <c r="M17" s="110" t="s">
        <v>48</v>
      </c>
      <c r="N17" s="110" t="s">
        <v>48</v>
      </c>
      <c r="O17" s="110" t="s">
        <v>48</v>
      </c>
      <c r="P17" s="110" t="s">
        <v>48</v>
      </c>
      <c r="Q17" s="110" t="s">
        <v>48</v>
      </c>
      <c r="R17" s="110" t="s">
        <v>48</v>
      </c>
      <c r="S17" s="110" t="s">
        <v>48</v>
      </c>
      <c r="T17" s="110" t="s">
        <v>48</v>
      </c>
      <c r="U17" s="110" t="s">
        <v>48</v>
      </c>
      <c r="V17" s="110" t="s">
        <v>48</v>
      </c>
      <c r="W17" s="110" t="s">
        <v>48</v>
      </c>
      <c r="X17" s="110" t="s">
        <v>48</v>
      </c>
      <c r="Y17" s="110" t="s">
        <v>48</v>
      </c>
      <c r="Z17" s="110" t="s">
        <v>48</v>
      </c>
      <c r="AA17" s="110" t="s">
        <v>48</v>
      </c>
      <c r="AB17" s="110" t="s">
        <v>48</v>
      </c>
      <c r="AC17" s="110" t="s">
        <v>48</v>
      </c>
      <c r="AD17" s="110" t="s">
        <v>48</v>
      </c>
      <c r="AE17" s="110" t="s">
        <v>48</v>
      </c>
      <c r="AF17" s="110" t="s">
        <v>48</v>
      </c>
      <c r="AG17" s="110" t="s">
        <v>48</v>
      </c>
      <c r="AH17" s="110" t="s">
        <v>48</v>
      </c>
      <c r="AI17" s="110" t="s">
        <v>48</v>
      </c>
      <c r="AJ17" s="73">
        <f t="shared" si="0"/>
        <v>30</v>
      </c>
      <c r="AK17" s="73">
        <v>30</v>
      </c>
      <c r="AL17" s="181">
        <v>16500</v>
      </c>
    </row>
    <row r="18" spans="2:38" ht="16.05" customHeight="1" x14ac:dyDescent="0.3">
      <c r="B18" s="109">
        <v>16</v>
      </c>
      <c r="C18" s="168" t="s">
        <v>681</v>
      </c>
      <c r="D18" s="43" t="s">
        <v>241</v>
      </c>
      <c r="E18" s="43" t="s">
        <v>242</v>
      </c>
      <c r="F18" s="10" t="s">
        <v>48</v>
      </c>
      <c r="G18" s="10"/>
      <c r="H18" s="10" t="s">
        <v>48</v>
      </c>
      <c r="I18" s="10" t="s">
        <v>48</v>
      </c>
      <c r="J18" s="10" t="s">
        <v>48</v>
      </c>
      <c r="K18" s="10"/>
      <c r="L18" s="10" t="s">
        <v>48</v>
      </c>
      <c r="M18" s="10" t="s">
        <v>48</v>
      </c>
      <c r="N18" s="10" t="s">
        <v>48</v>
      </c>
      <c r="O18" s="10"/>
      <c r="P18" s="10"/>
      <c r="Q18" s="10"/>
      <c r="R18" s="10" t="s">
        <v>48</v>
      </c>
      <c r="S18" s="10" t="s">
        <v>48</v>
      </c>
      <c r="T18" s="10" t="s">
        <v>48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73">
        <f t="shared" si="0"/>
        <v>10</v>
      </c>
      <c r="AK18" s="73">
        <v>10</v>
      </c>
      <c r="AL18" s="181">
        <v>7500</v>
      </c>
    </row>
    <row r="19" spans="2:38" ht="16.05" customHeight="1" x14ac:dyDescent="0.3">
      <c r="B19" s="109">
        <v>17</v>
      </c>
      <c r="C19" s="173" t="s">
        <v>140</v>
      </c>
      <c r="D19" s="42" t="s">
        <v>144</v>
      </c>
      <c r="E19" s="42" t="s">
        <v>148</v>
      </c>
      <c r="F19" s="110" t="s">
        <v>48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 t="s">
        <v>48</v>
      </c>
      <c r="V19" s="10" t="s">
        <v>48</v>
      </c>
      <c r="W19" s="10" t="s">
        <v>48</v>
      </c>
      <c r="X19" s="10" t="s">
        <v>48</v>
      </c>
      <c r="Y19" s="10" t="s">
        <v>48</v>
      </c>
      <c r="Z19" s="10" t="s">
        <v>48</v>
      </c>
      <c r="AA19" s="10" t="s">
        <v>48</v>
      </c>
      <c r="AB19" s="10" t="s">
        <v>48</v>
      </c>
      <c r="AC19" s="10" t="s">
        <v>48</v>
      </c>
      <c r="AD19" s="10" t="s">
        <v>48</v>
      </c>
      <c r="AE19" s="10" t="s">
        <v>48</v>
      </c>
      <c r="AF19" s="10" t="s">
        <v>48</v>
      </c>
      <c r="AG19" s="10" t="s">
        <v>48</v>
      </c>
      <c r="AH19" s="10" t="s">
        <v>48</v>
      </c>
      <c r="AI19" s="10" t="s">
        <v>48</v>
      </c>
      <c r="AJ19" s="73">
        <f t="shared" si="0"/>
        <v>16</v>
      </c>
      <c r="AK19" s="73">
        <v>16</v>
      </c>
      <c r="AL19" s="181">
        <v>8800</v>
      </c>
    </row>
    <row r="20" spans="2:38" ht="16.05" customHeight="1" x14ac:dyDescent="0.3">
      <c r="B20" s="109">
        <v>18</v>
      </c>
      <c r="C20" s="168" t="s">
        <v>214</v>
      </c>
      <c r="D20" s="43" t="s">
        <v>215</v>
      </c>
      <c r="E20" s="43" t="s">
        <v>216</v>
      </c>
      <c r="F20" s="10" t="s">
        <v>48</v>
      </c>
      <c r="G20" s="10" t="s">
        <v>48</v>
      </c>
      <c r="H20" s="10" t="s">
        <v>48</v>
      </c>
      <c r="I20" s="10" t="s">
        <v>48</v>
      </c>
      <c r="J20" s="10" t="s">
        <v>48</v>
      </c>
      <c r="K20" s="10"/>
      <c r="L20" s="10"/>
      <c r="M20" s="10" t="s">
        <v>48</v>
      </c>
      <c r="N20" s="10" t="s">
        <v>48</v>
      </c>
      <c r="O20" s="10" t="s">
        <v>48</v>
      </c>
      <c r="P20" s="10" t="s">
        <v>48</v>
      </c>
      <c r="Q20" s="10" t="s">
        <v>48</v>
      </c>
      <c r="R20" s="10"/>
      <c r="S20" s="10"/>
      <c r="T20" s="10" t="s">
        <v>48</v>
      </c>
      <c r="U20" s="10" t="s">
        <v>48</v>
      </c>
      <c r="V20" s="10" t="s">
        <v>48</v>
      </c>
      <c r="W20" s="10" t="s">
        <v>48</v>
      </c>
      <c r="X20" s="10" t="s">
        <v>48</v>
      </c>
      <c r="Y20" s="10"/>
      <c r="Z20" s="10"/>
      <c r="AA20" s="10" t="s">
        <v>48</v>
      </c>
      <c r="AB20" s="10" t="s">
        <v>48</v>
      </c>
      <c r="AC20" s="10" t="s">
        <v>48</v>
      </c>
      <c r="AD20" s="10" t="s">
        <v>48</v>
      </c>
      <c r="AE20" s="10" t="s">
        <v>48</v>
      </c>
      <c r="AF20" s="10" t="s">
        <v>48</v>
      </c>
      <c r="AG20" s="10"/>
      <c r="AH20" s="10" t="s">
        <v>48</v>
      </c>
      <c r="AI20" s="10" t="s">
        <v>48</v>
      </c>
      <c r="AJ20" s="73">
        <f t="shared" si="0"/>
        <v>23</v>
      </c>
      <c r="AK20" s="73">
        <v>23</v>
      </c>
      <c r="AL20" s="181">
        <v>13800</v>
      </c>
    </row>
    <row r="21" spans="2:38" ht="16.05" customHeight="1" x14ac:dyDescent="0.3">
      <c r="B21" s="109">
        <v>19</v>
      </c>
      <c r="C21" s="168" t="s">
        <v>97</v>
      </c>
      <c r="D21" s="43" t="s">
        <v>110</v>
      </c>
      <c r="E21" s="43" t="s">
        <v>111</v>
      </c>
      <c r="F21" s="10" t="s">
        <v>48</v>
      </c>
      <c r="G21" s="10" t="s">
        <v>48</v>
      </c>
      <c r="H21" s="10" t="s">
        <v>48</v>
      </c>
      <c r="I21" s="10" t="s">
        <v>48</v>
      </c>
      <c r="J21" s="10"/>
      <c r="K21" s="10"/>
      <c r="L21" s="10" t="s">
        <v>48</v>
      </c>
      <c r="M21" s="10" t="s">
        <v>48</v>
      </c>
      <c r="N21" s="10" t="s">
        <v>48</v>
      </c>
      <c r="O21" s="10" t="s">
        <v>48</v>
      </c>
      <c r="P21" s="10" t="s">
        <v>48</v>
      </c>
      <c r="Q21" s="10"/>
      <c r="R21" s="10" t="s">
        <v>48</v>
      </c>
      <c r="S21" s="10" t="s">
        <v>48</v>
      </c>
      <c r="T21" s="10" t="s">
        <v>48</v>
      </c>
      <c r="U21" s="10" t="s">
        <v>48</v>
      </c>
      <c r="V21" s="10" t="s">
        <v>48</v>
      </c>
      <c r="W21" s="10" t="s">
        <v>48</v>
      </c>
      <c r="X21" s="10"/>
      <c r="Y21" s="10" t="s">
        <v>412</v>
      </c>
      <c r="Z21" s="10" t="s">
        <v>48</v>
      </c>
      <c r="AA21" s="10" t="s">
        <v>48</v>
      </c>
      <c r="AB21" s="10" t="s">
        <v>48</v>
      </c>
      <c r="AC21" s="10" t="s">
        <v>48</v>
      </c>
      <c r="AD21" s="10" t="s">
        <v>48</v>
      </c>
      <c r="AE21" s="10"/>
      <c r="AF21" s="10" t="s">
        <v>48</v>
      </c>
      <c r="AG21" s="10" t="s">
        <v>48</v>
      </c>
      <c r="AH21" s="10" t="s">
        <v>48</v>
      </c>
      <c r="AI21" s="10" t="s">
        <v>48</v>
      </c>
      <c r="AJ21" s="73">
        <f t="shared" si="0"/>
        <v>26</v>
      </c>
      <c r="AK21" s="73">
        <v>26</v>
      </c>
      <c r="AL21" s="181">
        <v>14300</v>
      </c>
    </row>
    <row r="22" spans="2:38" ht="16.05" customHeight="1" x14ac:dyDescent="0.3">
      <c r="B22" s="109">
        <v>20</v>
      </c>
      <c r="C22" s="173" t="s">
        <v>204</v>
      </c>
      <c r="D22" s="42" t="s">
        <v>205</v>
      </c>
      <c r="E22" s="42" t="s">
        <v>206</v>
      </c>
      <c r="F22" s="110" t="s">
        <v>48</v>
      </c>
      <c r="G22" s="110" t="s">
        <v>48</v>
      </c>
      <c r="H22" s="110" t="s">
        <v>48</v>
      </c>
      <c r="I22" s="110" t="s">
        <v>48</v>
      </c>
      <c r="J22" s="10"/>
      <c r="K22" s="110" t="s">
        <v>48</v>
      </c>
      <c r="L22" s="110" t="s">
        <v>48</v>
      </c>
      <c r="M22" s="110" t="s">
        <v>48</v>
      </c>
      <c r="N22" s="110" t="s">
        <v>48</v>
      </c>
      <c r="O22" s="110" t="s">
        <v>48</v>
      </c>
      <c r="P22" s="110" t="s">
        <v>48</v>
      </c>
      <c r="Q22" s="10"/>
      <c r="R22" s="110" t="s">
        <v>48</v>
      </c>
      <c r="S22" s="110" t="s">
        <v>48</v>
      </c>
      <c r="T22" s="110" t="s">
        <v>48</v>
      </c>
      <c r="U22" s="110" t="s">
        <v>48</v>
      </c>
      <c r="V22" s="110" t="s">
        <v>48</v>
      </c>
      <c r="W22" s="110" t="s">
        <v>48</v>
      </c>
      <c r="X22" s="10"/>
      <c r="Y22" s="110" t="s">
        <v>48</v>
      </c>
      <c r="Z22" s="110" t="s">
        <v>48</v>
      </c>
      <c r="AA22" s="110" t="s">
        <v>48</v>
      </c>
      <c r="AB22" s="110" t="s">
        <v>48</v>
      </c>
      <c r="AC22" s="110" t="s">
        <v>48</v>
      </c>
      <c r="AD22" s="110" t="s">
        <v>48</v>
      </c>
      <c r="AE22" s="10"/>
      <c r="AF22" s="110" t="s">
        <v>48</v>
      </c>
      <c r="AG22" s="110" t="s">
        <v>48</v>
      </c>
      <c r="AH22" s="110" t="s">
        <v>48</v>
      </c>
      <c r="AI22" s="110" t="s">
        <v>48</v>
      </c>
      <c r="AJ22" s="73">
        <f t="shared" si="0"/>
        <v>26</v>
      </c>
      <c r="AK22" s="73">
        <v>26</v>
      </c>
      <c r="AL22" s="181">
        <v>15600</v>
      </c>
    </row>
    <row r="23" spans="2:38" ht="16.05" customHeight="1" x14ac:dyDescent="0.3">
      <c r="B23" s="109">
        <v>21</v>
      </c>
      <c r="C23" s="168" t="s">
        <v>60</v>
      </c>
      <c r="D23" s="43" t="s">
        <v>76</v>
      </c>
      <c r="E23" s="43" t="s">
        <v>77</v>
      </c>
      <c r="F23" s="10"/>
      <c r="G23" s="10"/>
      <c r="H23" s="10"/>
      <c r="I23" s="10"/>
      <c r="J23" s="10"/>
      <c r="K23" s="10" t="s">
        <v>48</v>
      </c>
      <c r="L23" s="10" t="s">
        <v>48</v>
      </c>
      <c r="M23" s="10" t="s">
        <v>48</v>
      </c>
      <c r="N23" s="10"/>
      <c r="O23" s="10" t="s">
        <v>48</v>
      </c>
      <c r="P23" s="10" t="s">
        <v>48</v>
      </c>
      <c r="Q23" s="10" t="s">
        <v>48</v>
      </c>
      <c r="R23" s="10" t="s">
        <v>48</v>
      </c>
      <c r="S23" s="10"/>
      <c r="T23" s="10"/>
      <c r="U23" s="10"/>
      <c r="V23" s="10" t="s">
        <v>48</v>
      </c>
      <c r="W23" s="10" t="s">
        <v>48</v>
      </c>
      <c r="X23" s="10" t="s">
        <v>48</v>
      </c>
      <c r="Y23" s="10"/>
      <c r="Z23" s="10" t="s">
        <v>48</v>
      </c>
      <c r="AA23" s="10" t="s">
        <v>48</v>
      </c>
      <c r="AB23" s="10" t="s">
        <v>48</v>
      </c>
      <c r="AC23" s="10"/>
      <c r="AD23" s="10"/>
      <c r="AE23" s="10"/>
      <c r="AF23" s="10" t="s">
        <v>48</v>
      </c>
      <c r="AG23" s="10" t="s">
        <v>48</v>
      </c>
      <c r="AH23" s="10" t="s">
        <v>48</v>
      </c>
      <c r="AI23" s="10"/>
      <c r="AJ23" s="73">
        <f t="shared" si="0"/>
        <v>16</v>
      </c>
      <c r="AK23" s="73">
        <v>16</v>
      </c>
      <c r="AL23" s="181">
        <v>11200</v>
      </c>
    </row>
    <row r="24" spans="2:38" ht="16.05" customHeight="1" x14ac:dyDescent="0.3">
      <c r="B24" s="109">
        <v>22</v>
      </c>
      <c r="C24" s="173" t="s">
        <v>627</v>
      </c>
      <c r="D24" s="42" t="s">
        <v>243</v>
      </c>
      <c r="E24" s="42" t="s">
        <v>244</v>
      </c>
      <c r="F24" s="10"/>
      <c r="G24" s="10"/>
      <c r="H24" s="110" t="s">
        <v>48</v>
      </c>
      <c r="I24" s="110" t="s">
        <v>48</v>
      </c>
      <c r="J24" s="110" t="s">
        <v>48</v>
      </c>
      <c r="K24" s="10"/>
      <c r="L24" s="10"/>
      <c r="M24" s="10"/>
      <c r="N24" s="10"/>
      <c r="O24" s="10"/>
      <c r="P24" s="10"/>
      <c r="Q24" s="10"/>
      <c r="R24" s="10"/>
      <c r="S24" s="10"/>
      <c r="T24" s="10" t="s">
        <v>48</v>
      </c>
      <c r="U24" s="10" t="s">
        <v>48</v>
      </c>
      <c r="V24" s="10"/>
      <c r="W24" s="10"/>
      <c r="X24" s="10"/>
      <c r="Y24" s="10"/>
      <c r="Z24" s="10" t="s">
        <v>48</v>
      </c>
      <c r="AA24" s="10" t="s">
        <v>48</v>
      </c>
      <c r="AB24" s="10"/>
      <c r="AC24" s="10"/>
      <c r="AD24" s="10"/>
      <c r="AE24" s="10"/>
      <c r="AF24" s="10"/>
      <c r="AG24" s="10"/>
      <c r="AH24" s="10"/>
      <c r="AI24" s="10"/>
      <c r="AJ24" s="73">
        <f t="shared" si="0"/>
        <v>7</v>
      </c>
      <c r="AK24" s="73">
        <v>7</v>
      </c>
      <c r="AL24" s="181">
        <v>4450</v>
      </c>
    </row>
    <row r="25" spans="2:38" ht="16.05" customHeight="1" x14ac:dyDescent="0.3">
      <c r="B25" s="109">
        <v>23</v>
      </c>
      <c r="C25" s="168" t="s">
        <v>225</v>
      </c>
      <c r="D25" s="43" t="s">
        <v>226</v>
      </c>
      <c r="E25" s="43" t="s">
        <v>227</v>
      </c>
      <c r="F25" s="10" t="s">
        <v>48</v>
      </c>
      <c r="G25" s="10" t="s">
        <v>48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 t="s">
        <v>48</v>
      </c>
      <c r="T25" s="10" t="s">
        <v>48</v>
      </c>
      <c r="U25" s="10" t="s">
        <v>48</v>
      </c>
      <c r="V25" s="10" t="s">
        <v>48</v>
      </c>
      <c r="W25" s="10" t="s">
        <v>48</v>
      </c>
      <c r="X25" s="10" t="s">
        <v>48</v>
      </c>
      <c r="Y25" s="10" t="s">
        <v>48</v>
      </c>
      <c r="Z25" s="10" t="s">
        <v>48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73">
        <f t="shared" si="0"/>
        <v>10</v>
      </c>
      <c r="AK25" s="73">
        <v>10</v>
      </c>
      <c r="AL25" s="181">
        <v>5500</v>
      </c>
    </row>
    <row r="26" spans="2:38" ht="16.05" customHeight="1" x14ac:dyDescent="0.3">
      <c r="B26" s="109">
        <v>24</v>
      </c>
      <c r="C26" s="173" t="s">
        <v>99</v>
      </c>
      <c r="D26" s="42" t="s">
        <v>114</v>
      </c>
      <c r="E26" s="42" t="s">
        <v>115</v>
      </c>
      <c r="F26" s="110" t="s">
        <v>48</v>
      </c>
      <c r="G26" s="110" t="s">
        <v>412</v>
      </c>
      <c r="H26" s="110" t="s">
        <v>48</v>
      </c>
      <c r="I26" s="110" t="s">
        <v>48</v>
      </c>
      <c r="J26" s="10"/>
      <c r="K26" s="110" t="s">
        <v>48</v>
      </c>
      <c r="L26" s="110" t="s">
        <v>48</v>
      </c>
      <c r="M26" s="110" t="s">
        <v>48</v>
      </c>
      <c r="N26" s="110" t="s">
        <v>412</v>
      </c>
      <c r="O26" s="110" t="s">
        <v>48</v>
      </c>
      <c r="P26" s="110" t="s">
        <v>48</v>
      </c>
      <c r="Q26" s="10"/>
      <c r="R26" s="110" t="s">
        <v>48</v>
      </c>
      <c r="S26" s="110" t="s">
        <v>48</v>
      </c>
      <c r="T26" s="110" t="s">
        <v>48</v>
      </c>
      <c r="U26" s="110" t="s">
        <v>48</v>
      </c>
      <c r="V26" s="110" t="s">
        <v>48</v>
      </c>
      <c r="W26" s="110" t="s">
        <v>48</v>
      </c>
      <c r="X26" s="10"/>
      <c r="Y26" s="110" t="s">
        <v>48</v>
      </c>
      <c r="Z26" s="110" t="s">
        <v>48</v>
      </c>
      <c r="AA26" s="110" t="s">
        <v>48</v>
      </c>
      <c r="AB26" s="110" t="s">
        <v>48</v>
      </c>
      <c r="AC26" s="110" t="s">
        <v>48</v>
      </c>
      <c r="AD26" s="110" t="s">
        <v>48</v>
      </c>
      <c r="AE26" s="10"/>
      <c r="AF26" s="110" t="s">
        <v>48</v>
      </c>
      <c r="AG26" s="110" t="s">
        <v>48</v>
      </c>
      <c r="AH26" s="110" t="s">
        <v>48</v>
      </c>
      <c r="AI26" s="110" t="s">
        <v>48</v>
      </c>
      <c r="AJ26" s="73">
        <f t="shared" si="0"/>
        <v>28</v>
      </c>
      <c r="AK26" s="73">
        <v>28</v>
      </c>
      <c r="AL26" s="181">
        <v>15400</v>
      </c>
    </row>
    <row r="27" spans="2:38" ht="16.05" customHeight="1" x14ac:dyDescent="0.3">
      <c r="B27" s="109">
        <v>25</v>
      </c>
      <c r="C27" s="168" t="s">
        <v>124</v>
      </c>
      <c r="D27" s="43" t="s">
        <v>134</v>
      </c>
      <c r="E27" s="43" t="s">
        <v>135</v>
      </c>
      <c r="F27" s="10" t="s">
        <v>48</v>
      </c>
      <c r="G27" s="10" t="s">
        <v>48</v>
      </c>
      <c r="H27" s="10" t="s">
        <v>48</v>
      </c>
      <c r="I27" s="10" t="s">
        <v>48</v>
      </c>
      <c r="J27" s="10" t="s">
        <v>48</v>
      </c>
      <c r="K27" s="10"/>
      <c r="L27" s="10"/>
      <c r="M27" s="10" t="s">
        <v>48</v>
      </c>
      <c r="N27" s="10" t="s">
        <v>48</v>
      </c>
      <c r="O27" s="10" t="s">
        <v>48</v>
      </c>
      <c r="P27" s="10"/>
      <c r="Q27" s="10" t="s">
        <v>48</v>
      </c>
      <c r="R27" s="10" t="s">
        <v>48</v>
      </c>
      <c r="S27" s="10" t="s">
        <v>48</v>
      </c>
      <c r="T27" s="10" t="s">
        <v>48</v>
      </c>
      <c r="U27" s="10" t="s">
        <v>48</v>
      </c>
      <c r="V27" s="10" t="s">
        <v>48</v>
      </c>
      <c r="W27" s="10"/>
      <c r="X27" s="10"/>
      <c r="Y27" s="10"/>
      <c r="Z27" s="10"/>
      <c r="AA27" s="10"/>
      <c r="AB27" s="10" t="s">
        <v>48</v>
      </c>
      <c r="AC27" s="10" t="s">
        <v>48</v>
      </c>
      <c r="AD27" s="10"/>
      <c r="AE27" s="10" t="s">
        <v>48</v>
      </c>
      <c r="AF27" s="10" t="s">
        <v>48</v>
      </c>
      <c r="AG27" s="10" t="s">
        <v>48</v>
      </c>
      <c r="AH27" s="10" t="s">
        <v>48</v>
      </c>
      <c r="AI27" s="10" t="s">
        <v>48</v>
      </c>
      <c r="AJ27" s="73">
        <f t="shared" si="0"/>
        <v>21</v>
      </c>
      <c r="AK27" s="73">
        <v>21</v>
      </c>
      <c r="AL27" s="181">
        <v>11550</v>
      </c>
    </row>
    <row r="28" spans="2:38" ht="16.05" customHeight="1" x14ac:dyDescent="0.3">
      <c r="B28" s="109">
        <v>26</v>
      </c>
      <c r="C28" s="173" t="s">
        <v>120</v>
      </c>
      <c r="D28" s="42" t="s">
        <v>126</v>
      </c>
      <c r="E28" s="42" t="s">
        <v>127</v>
      </c>
      <c r="F28" s="110" t="s">
        <v>48</v>
      </c>
      <c r="G28" s="110" t="s">
        <v>48</v>
      </c>
      <c r="H28" s="110" t="s">
        <v>48</v>
      </c>
      <c r="I28" s="10"/>
      <c r="J28" s="110" t="s">
        <v>48</v>
      </c>
      <c r="K28" s="110" t="s">
        <v>48</v>
      </c>
      <c r="L28" s="110" t="s">
        <v>48</v>
      </c>
      <c r="M28" s="110" t="s">
        <v>48</v>
      </c>
      <c r="N28" s="110" t="s">
        <v>48</v>
      </c>
      <c r="O28" s="110" t="s">
        <v>48</v>
      </c>
      <c r="P28" s="110"/>
      <c r="Q28" s="110" t="s">
        <v>48</v>
      </c>
      <c r="R28" s="110" t="s">
        <v>48</v>
      </c>
      <c r="S28" s="110" t="s">
        <v>48</v>
      </c>
      <c r="T28" s="110" t="s">
        <v>48</v>
      </c>
      <c r="U28" s="10"/>
      <c r="V28" s="10"/>
      <c r="W28" s="10"/>
      <c r="X28" s="10" t="s">
        <v>48</v>
      </c>
      <c r="Y28" s="10" t="s">
        <v>48</v>
      </c>
      <c r="Z28" s="10" t="s">
        <v>48</v>
      </c>
      <c r="AA28" s="10" t="s">
        <v>48</v>
      </c>
      <c r="AB28" s="10" t="s">
        <v>48</v>
      </c>
      <c r="AC28" s="10" t="s">
        <v>48</v>
      </c>
      <c r="AD28" s="10"/>
      <c r="AE28" s="10" t="s">
        <v>48</v>
      </c>
      <c r="AF28" s="10" t="s">
        <v>48</v>
      </c>
      <c r="AG28" s="10" t="s">
        <v>48</v>
      </c>
      <c r="AH28" s="10" t="s">
        <v>48</v>
      </c>
      <c r="AI28" s="10" t="s">
        <v>48</v>
      </c>
      <c r="AJ28" s="73">
        <f t="shared" si="0"/>
        <v>24</v>
      </c>
      <c r="AK28" s="73">
        <v>24</v>
      </c>
      <c r="AL28" s="181">
        <v>14400</v>
      </c>
    </row>
    <row r="29" spans="2:38" ht="16.05" customHeight="1" x14ac:dyDescent="0.3">
      <c r="B29" s="109">
        <v>27</v>
      </c>
      <c r="C29" s="173" t="s">
        <v>138</v>
      </c>
      <c r="D29" s="42" t="s">
        <v>144</v>
      </c>
      <c r="E29" s="42" t="s">
        <v>145</v>
      </c>
      <c r="F29" s="10"/>
      <c r="G29" s="110" t="s">
        <v>48</v>
      </c>
      <c r="H29" s="110" t="s">
        <v>48</v>
      </c>
      <c r="I29" s="110" t="s">
        <v>48</v>
      </c>
      <c r="J29" s="110" t="s">
        <v>48</v>
      </c>
      <c r="K29" s="110" t="s">
        <v>48</v>
      </c>
      <c r="L29" s="110" t="s">
        <v>48</v>
      </c>
      <c r="M29" s="110" t="s">
        <v>48</v>
      </c>
      <c r="N29" s="110" t="s">
        <v>48</v>
      </c>
      <c r="O29" s="110" t="s">
        <v>48</v>
      </c>
      <c r="P29" s="110" t="s">
        <v>48</v>
      </c>
      <c r="Q29" s="110" t="s">
        <v>48</v>
      </c>
      <c r="R29" s="110" t="s">
        <v>48</v>
      </c>
      <c r="S29" s="110" t="s">
        <v>48</v>
      </c>
      <c r="T29" s="110" t="s">
        <v>48</v>
      </c>
      <c r="U29" s="110" t="s">
        <v>48</v>
      </c>
      <c r="V29" s="110" t="s">
        <v>48</v>
      </c>
      <c r="W29" s="10"/>
      <c r="X29" s="10"/>
      <c r="Y29" s="10"/>
      <c r="Z29" s="10"/>
      <c r="AA29" s="10"/>
      <c r="AB29" s="10" t="s">
        <v>48</v>
      </c>
      <c r="AC29" s="10" t="s">
        <v>48</v>
      </c>
      <c r="AD29" s="10" t="s">
        <v>48</v>
      </c>
      <c r="AE29" s="10" t="s">
        <v>48</v>
      </c>
      <c r="AF29" s="10" t="s">
        <v>48</v>
      </c>
      <c r="AG29" s="10" t="s">
        <v>48</v>
      </c>
      <c r="AH29" s="10" t="s">
        <v>48</v>
      </c>
      <c r="AI29" s="10" t="s">
        <v>48</v>
      </c>
      <c r="AJ29" s="73">
        <f t="shared" si="0"/>
        <v>24</v>
      </c>
      <c r="AK29" s="73">
        <v>21</v>
      </c>
      <c r="AL29" s="181">
        <v>12600</v>
      </c>
    </row>
    <row r="30" spans="2:38" ht="16.05" customHeight="1" x14ac:dyDescent="0.3">
      <c r="B30" s="109">
        <v>28</v>
      </c>
      <c r="C30" s="168" t="s">
        <v>195</v>
      </c>
      <c r="D30" s="43" t="s">
        <v>196</v>
      </c>
      <c r="E30" s="43" t="s">
        <v>197</v>
      </c>
      <c r="F30" s="10"/>
      <c r="G30" s="10"/>
      <c r="H30" s="10" t="s">
        <v>48</v>
      </c>
      <c r="I30" s="10" t="s">
        <v>48</v>
      </c>
      <c r="J30" s="10" t="s">
        <v>48</v>
      </c>
      <c r="K30" s="10" t="s">
        <v>48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73">
        <f t="shared" si="0"/>
        <v>4</v>
      </c>
      <c r="AK30" s="73">
        <v>4</v>
      </c>
      <c r="AL30" s="181">
        <v>2200</v>
      </c>
    </row>
    <row r="31" spans="2:38" ht="16.05" customHeight="1" x14ac:dyDescent="0.3">
      <c r="B31" s="109">
        <v>29</v>
      </c>
      <c r="C31" s="173" t="s">
        <v>96</v>
      </c>
      <c r="D31" s="42" t="s">
        <v>106</v>
      </c>
      <c r="E31" s="42" t="s">
        <v>107</v>
      </c>
      <c r="F31" s="110" t="s">
        <v>48</v>
      </c>
      <c r="G31" s="110" t="s">
        <v>48</v>
      </c>
      <c r="H31" s="110" t="s">
        <v>48</v>
      </c>
      <c r="I31" s="110" t="s">
        <v>48</v>
      </c>
      <c r="J31" s="10"/>
      <c r="K31" s="110" t="s">
        <v>48</v>
      </c>
      <c r="L31" s="110" t="s">
        <v>48</v>
      </c>
      <c r="M31" s="110" t="s">
        <v>48</v>
      </c>
      <c r="N31" s="110" t="s">
        <v>48</v>
      </c>
      <c r="O31" s="110" t="s">
        <v>48</v>
      </c>
      <c r="P31" s="110" t="s">
        <v>48</v>
      </c>
      <c r="Q31" s="10"/>
      <c r="R31" s="10"/>
      <c r="S31" s="110" t="s">
        <v>48</v>
      </c>
      <c r="T31" s="110" t="s">
        <v>48</v>
      </c>
      <c r="U31" s="110" t="s">
        <v>48</v>
      </c>
      <c r="V31" s="110" t="s">
        <v>48</v>
      </c>
      <c r="W31" s="110" t="s">
        <v>48</v>
      </c>
      <c r="X31" s="10"/>
      <c r="Y31" s="110" t="s">
        <v>48</v>
      </c>
      <c r="Z31" s="110" t="s">
        <v>48</v>
      </c>
      <c r="AA31" s="110" t="s">
        <v>48</v>
      </c>
      <c r="AB31" s="110" t="s">
        <v>48</v>
      </c>
      <c r="AC31" s="110" t="s">
        <v>48</v>
      </c>
      <c r="AD31" s="110" t="s">
        <v>48</v>
      </c>
      <c r="AE31" s="10"/>
      <c r="AF31" s="110" t="s">
        <v>48</v>
      </c>
      <c r="AG31" s="10"/>
      <c r="AH31" s="10"/>
      <c r="AI31" s="10" t="s">
        <v>48</v>
      </c>
      <c r="AJ31" s="73">
        <f t="shared" si="0"/>
        <v>23</v>
      </c>
      <c r="AK31" s="73">
        <v>23</v>
      </c>
      <c r="AL31" s="181">
        <v>12650</v>
      </c>
    </row>
    <row r="32" spans="2:38" ht="16.05" customHeight="1" x14ac:dyDescent="0.3">
      <c r="B32" s="109">
        <v>30</v>
      </c>
      <c r="C32" s="173" t="s">
        <v>383</v>
      </c>
      <c r="D32" s="42" t="s">
        <v>381</v>
      </c>
      <c r="E32" s="42" t="s">
        <v>382</v>
      </c>
      <c r="F32" s="110" t="s">
        <v>48</v>
      </c>
      <c r="G32" s="110" t="s">
        <v>48</v>
      </c>
      <c r="H32" s="110" t="s">
        <v>48</v>
      </c>
      <c r="I32" s="110" t="s">
        <v>48</v>
      </c>
      <c r="J32" s="110" t="s">
        <v>48</v>
      </c>
      <c r="K32" s="110" t="s">
        <v>48</v>
      </c>
      <c r="L32" s="110" t="s">
        <v>48</v>
      </c>
      <c r="M32" s="110" t="s">
        <v>48</v>
      </c>
      <c r="N32" s="110" t="s">
        <v>48</v>
      </c>
      <c r="O32" s="110" t="s">
        <v>48</v>
      </c>
      <c r="P32" s="110" t="s">
        <v>48</v>
      </c>
      <c r="Q32" s="110" t="s">
        <v>48</v>
      </c>
      <c r="R32" s="110" t="s">
        <v>48</v>
      </c>
      <c r="S32" s="110" t="s">
        <v>48</v>
      </c>
      <c r="T32" s="110" t="s">
        <v>48</v>
      </c>
      <c r="U32" s="110" t="s">
        <v>48</v>
      </c>
      <c r="V32" s="110" t="s">
        <v>48</v>
      </c>
      <c r="W32" s="110" t="s">
        <v>48</v>
      </c>
      <c r="X32" s="110" t="s">
        <v>48</v>
      </c>
      <c r="Y32" s="110" t="s">
        <v>48</v>
      </c>
      <c r="Z32" s="110" t="s">
        <v>48</v>
      </c>
      <c r="AA32" s="110" t="s">
        <v>48</v>
      </c>
      <c r="AB32" s="110" t="s">
        <v>48</v>
      </c>
      <c r="AC32" s="110" t="s">
        <v>48</v>
      </c>
      <c r="AD32" s="110" t="s">
        <v>48</v>
      </c>
      <c r="AE32" s="110" t="s">
        <v>48</v>
      </c>
      <c r="AF32" s="110" t="s">
        <v>48</v>
      </c>
      <c r="AG32" s="110" t="s">
        <v>48</v>
      </c>
      <c r="AH32" s="110" t="s">
        <v>48</v>
      </c>
      <c r="AI32" s="110" t="s">
        <v>48</v>
      </c>
      <c r="AJ32" s="73">
        <f t="shared" si="0"/>
        <v>30</v>
      </c>
      <c r="AK32" s="107">
        <v>33</v>
      </c>
      <c r="AL32" s="181">
        <v>18150</v>
      </c>
    </row>
    <row r="33" spans="2:38" ht="16.05" customHeight="1" x14ac:dyDescent="0.3">
      <c r="B33" s="109">
        <v>31</v>
      </c>
      <c r="C33" s="168" t="s">
        <v>443</v>
      </c>
      <c r="D33" s="43" t="s">
        <v>441</v>
      </c>
      <c r="E33" s="43" t="s">
        <v>442</v>
      </c>
      <c r="F33" s="10"/>
      <c r="G33" s="10"/>
      <c r="H33" s="10"/>
      <c r="I33" s="10"/>
      <c r="J33" s="10"/>
      <c r="K33" s="10"/>
      <c r="L33" s="10"/>
      <c r="M33" s="10"/>
      <c r="N33" s="10"/>
      <c r="O33" s="10" t="s">
        <v>48</v>
      </c>
      <c r="P33" s="10" t="s">
        <v>48</v>
      </c>
      <c r="Q33" s="10" t="s">
        <v>48</v>
      </c>
      <c r="R33" s="10" t="s">
        <v>48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 t="s">
        <v>48</v>
      </c>
      <c r="AH33" s="10" t="s">
        <v>48</v>
      </c>
      <c r="AI33" s="10" t="s">
        <v>48</v>
      </c>
      <c r="AJ33" s="73">
        <f t="shared" si="0"/>
        <v>7</v>
      </c>
      <c r="AK33" s="73">
        <v>7</v>
      </c>
      <c r="AL33" s="181">
        <v>3850</v>
      </c>
    </row>
    <row r="34" spans="2:38" ht="16.05" customHeight="1" x14ac:dyDescent="0.3">
      <c r="B34" s="109">
        <v>32</v>
      </c>
      <c r="C34" s="173" t="s">
        <v>364</v>
      </c>
      <c r="D34" s="42" t="s">
        <v>362</v>
      </c>
      <c r="E34" s="42" t="s">
        <v>363</v>
      </c>
      <c r="F34" s="10"/>
      <c r="G34" s="110" t="s">
        <v>48</v>
      </c>
      <c r="H34" s="110" t="s">
        <v>48</v>
      </c>
      <c r="I34" s="10"/>
      <c r="J34" s="10"/>
      <c r="K34" s="10" t="s">
        <v>48</v>
      </c>
      <c r="L34" s="10" t="s">
        <v>48</v>
      </c>
      <c r="M34" s="10" t="s">
        <v>48</v>
      </c>
      <c r="N34" s="10" t="s">
        <v>48</v>
      </c>
      <c r="O34" s="10"/>
      <c r="P34" s="10"/>
      <c r="Q34" s="10"/>
      <c r="R34" s="10"/>
      <c r="S34" s="10"/>
      <c r="T34" s="10"/>
      <c r="U34" s="10" t="s">
        <v>48</v>
      </c>
      <c r="V34" s="10" t="s">
        <v>48</v>
      </c>
      <c r="W34" s="10" t="s">
        <v>48</v>
      </c>
      <c r="X34" s="10" t="s">
        <v>48</v>
      </c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73">
        <f t="shared" si="0"/>
        <v>10</v>
      </c>
      <c r="AK34" s="73">
        <v>10</v>
      </c>
      <c r="AL34" s="181">
        <v>5580</v>
      </c>
    </row>
    <row r="35" spans="2:38" ht="16.05" customHeight="1" x14ac:dyDescent="0.3">
      <c r="B35" s="109">
        <v>34</v>
      </c>
      <c r="C35" s="173" t="s">
        <v>439</v>
      </c>
      <c r="D35" s="42" t="s">
        <v>223</v>
      </c>
      <c r="E35" s="42" t="s">
        <v>224</v>
      </c>
      <c r="F35" s="110" t="s">
        <v>48</v>
      </c>
      <c r="G35" s="110" t="s">
        <v>48</v>
      </c>
      <c r="H35" s="110" t="s">
        <v>48</v>
      </c>
      <c r="I35" s="110" t="s">
        <v>48</v>
      </c>
      <c r="J35" s="110" t="s">
        <v>48</v>
      </c>
      <c r="K35" s="110" t="s">
        <v>48</v>
      </c>
      <c r="L35" s="110" t="s">
        <v>48</v>
      </c>
      <c r="M35" s="110" t="s">
        <v>48</v>
      </c>
      <c r="N35" s="110" t="s">
        <v>48</v>
      </c>
      <c r="O35" s="10"/>
      <c r="P35" s="10"/>
      <c r="Q35" s="10"/>
      <c r="R35" s="10"/>
      <c r="S35" s="10" t="s">
        <v>48</v>
      </c>
      <c r="T35" s="10" t="s">
        <v>48</v>
      </c>
      <c r="U35" s="10" t="s">
        <v>48</v>
      </c>
      <c r="V35" s="10" t="s">
        <v>48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 t="s">
        <v>48</v>
      </c>
      <c r="AI35" s="10" t="s">
        <v>48</v>
      </c>
      <c r="AJ35" s="73">
        <f t="shared" si="0"/>
        <v>15</v>
      </c>
      <c r="AK35" s="73">
        <v>15</v>
      </c>
      <c r="AL35" s="181">
        <v>8350</v>
      </c>
    </row>
    <row r="36" spans="2:38" ht="16.05" customHeight="1" x14ac:dyDescent="0.3">
      <c r="B36" s="109">
        <v>35</v>
      </c>
      <c r="C36" s="168" t="s">
        <v>398</v>
      </c>
      <c r="D36" s="43" t="s">
        <v>282</v>
      </c>
      <c r="E36" s="43" t="s">
        <v>78</v>
      </c>
      <c r="F36" s="10" t="s">
        <v>48</v>
      </c>
      <c r="G36" s="10" t="s">
        <v>48</v>
      </c>
      <c r="H36" s="10"/>
      <c r="I36" s="10" t="s">
        <v>48</v>
      </c>
      <c r="J36" s="10" t="s">
        <v>48</v>
      </c>
      <c r="K36" s="10" t="s">
        <v>48</v>
      </c>
      <c r="L36" s="10" t="s">
        <v>48</v>
      </c>
      <c r="M36" s="10"/>
      <c r="N36" s="10"/>
      <c r="O36" s="10"/>
      <c r="P36" s="10" t="s">
        <v>48</v>
      </c>
      <c r="Q36" s="10" t="s">
        <v>48</v>
      </c>
      <c r="R36" s="10" t="s">
        <v>48</v>
      </c>
      <c r="S36" s="10" t="s">
        <v>48</v>
      </c>
      <c r="T36" s="10"/>
      <c r="U36" s="10"/>
      <c r="V36" s="10"/>
      <c r="W36" s="10" t="s">
        <v>48</v>
      </c>
      <c r="X36" s="10" t="s">
        <v>48</v>
      </c>
      <c r="Y36" s="10" t="s">
        <v>48</v>
      </c>
      <c r="Z36" s="10" t="s">
        <v>48</v>
      </c>
      <c r="AA36" s="10"/>
      <c r="AB36" s="10"/>
      <c r="AC36" s="10"/>
      <c r="AD36" s="10" t="s">
        <v>48</v>
      </c>
      <c r="AE36" s="10" t="s">
        <v>48</v>
      </c>
      <c r="AF36" s="10" t="s">
        <v>48</v>
      </c>
      <c r="AG36" s="10" t="s">
        <v>48</v>
      </c>
      <c r="AH36" s="10"/>
      <c r="AI36" s="10"/>
      <c r="AJ36" s="73">
        <f t="shared" si="0"/>
        <v>18</v>
      </c>
      <c r="AK36" s="73">
        <v>18</v>
      </c>
      <c r="AL36" s="181">
        <v>10800</v>
      </c>
    </row>
    <row r="37" spans="2:38" ht="16.05" customHeight="1" x14ac:dyDescent="0.3">
      <c r="B37" s="109">
        <v>36</v>
      </c>
      <c r="C37" s="173" t="s">
        <v>682</v>
      </c>
      <c r="D37" s="42" t="s">
        <v>190</v>
      </c>
      <c r="E37" s="42" t="s">
        <v>191</v>
      </c>
      <c r="F37" s="110" t="s">
        <v>48</v>
      </c>
      <c r="G37" s="110" t="s">
        <v>48</v>
      </c>
      <c r="H37" s="110" t="s">
        <v>48</v>
      </c>
      <c r="I37" s="10"/>
      <c r="J37" s="110" t="s">
        <v>48</v>
      </c>
      <c r="K37" s="110" t="s">
        <v>48</v>
      </c>
      <c r="L37" s="110" t="s">
        <v>48</v>
      </c>
      <c r="M37" s="110" t="s">
        <v>48</v>
      </c>
      <c r="N37" s="110" t="s">
        <v>48</v>
      </c>
      <c r="O37" s="110" t="s">
        <v>48</v>
      </c>
      <c r="P37" s="110"/>
      <c r="Q37" s="110" t="s">
        <v>48</v>
      </c>
      <c r="R37" s="110" t="s">
        <v>48</v>
      </c>
      <c r="S37" s="110" t="s">
        <v>48</v>
      </c>
      <c r="T37" s="110" t="s">
        <v>48</v>
      </c>
      <c r="U37" s="10"/>
      <c r="V37" s="10"/>
      <c r="W37" s="110" t="s">
        <v>48</v>
      </c>
      <c r="X37" s="110" t="s">
        <v>48</v>
      </c>
      <c r="Y37" s="110" t="s">
        <v>48</v>
      </c>
      <c r="Z37" s="110" t="s">
        <v>48</v>
      </c>
      <c r="AA37" s="110" t="s">
        <v>48</v>
      </c>
      <c r="AB37" s="10"/>
      <c r="AC37" s="10"/>
      <c r="AD37" s="10"/>
      <c r="AE37" s="10"/>
      <c r="AF37" s="10" t="s">
        <v>48</v>
      </c>
      <c r="AG37" s="10" t="s">
        <v>48</v>
      </c>
      <c r="AH37" s="10"/>
      <c r="AI37" s="10"/>
      <c r="AJ37" s="73">
        <f t="shared" si="0"/>
        <v>20</v>
      </c>
      <c r="AK37" s="73">
        <v>20</v>
      </c>
      <c r="AL37" s="181">
        <v>11200</v>
      </c>
    </row>
    <row r="38" spans="2:38" ht="16.05" customHeight="1" x14ac:dyDescent="0.3">
      <c r="B38" s="109">
        <v>37</v>
      </c>
      <c r="C38" s="168" t="s">
        <v>510</v>
      </c>
      <c r="D38" s="43" t="s">
        <v>186</v>
      </c>
      <c r="E38" s="43" t="s">
        <v>187</v>
      </c>
      <c r="F38" s="10"/>
      <c r="G38" s="10" t="s">
        <v>48</v>
      </c>
      <c r="H38" s="10" t="s">
        <v>48</v>
      </c>
      <c r="I38" s="10" t="s">
        <v>48</v>
      </c>
      <c r="J38" s="10" t="s">
        <v>48</v>
      </c>
      <c r="K38" s="10" t="s">
        <v>48</v>
      </c>
      <c r="L38" s="10" t="s">
        <v>48</v>
      </c>
      <c r="M38" s="10" t="s">
        <v>48</v>
      </c>
      <c r="N38" s="10" t="s">
        <v>48</v>
      </c>
      <c r="O38" s="10"/>
      <c r="P38" s="10"/>
      <c r="Q38" s="10"/>
      <c r="R38" s="10"/>
      <c r="S38" s="10" t="s">
        <v>48</v>
      </c>
      <c r="T38" s="10" t="s">
        <v>48</v>
      </c>
      <c r="U38" s="10" t="s">
        <v>48</v>
      </c>
      <c r="V38" s="10" t="s">
        <v>48</v>
      </c>
      <c r="W38" s="10" t="s">
        <v>48</v>
      </c>
      <c r="X38" s="10" t="s">
        <v>48</v>
      </c>
      <c r="Y38" s="10"/>
      <c r="Z38" s="10" t="s">
        <v>48</v>
      </c>
      <c r="AA38" s="10" t="s">
        <v>48</v>
      </c>
      <c r="AB38" s="10" t="s">
        <v>48</v>
      </c>
      <c r="AC38" s="10" t="s">
        <v>48</v>
      </c>
      <c r="AD38" s="10"/>
      <c r="AE38" s="10"/>
      <c r="AF38" s="10"/>
      <c r="AG38" s="10" t="s">
        <v>48</v>
      </c>
      <c r="AH38" s="10" t="s">
        <v>48</v>
      </c>
      <c r="AI38" s="10"/>
      <c r="AJ38" s="73">
        <f t="shared" si="0"/>
        <v>20</v>
      </c>
      <c r="AK38" s="73">
        <v>20</v>
      </c>
      <c r="AL38" s="181">
        <v>1100</v>
      </c>
    </row>
    <row r="39" spans="2:38" ht="16.05" customHeight="1" x14ac:dyDescent="0.3">
      <c r="B39" s="109">
        <v>38</v>
      </c>
      <c r="C39" s="173" t="s">
        <v>316</v>
      </c>
      <c r="D39" s="42" t="s">
        <v>314</v>
      </c>
      <c r="E39" s="42" t="s">
        <v>315</v>
      </c>
      <c r="F39" s="110" t="s">
        <v>48</v>
      </c>
      <c r="G39" s="110" t="s">
        <v>48</v>
      </c>
      <c r="H39" s="110" t="s">
        <v>48</v>
      </c>
      <c r="I39" s="10" t="s">
        <v>48</v>
      </c>
      <c r="J39" s="10" t="s">
        <v>48</v>
      </c>
      <c r="K39" s="10" t="s">
        <v>48</v>
      </c>
      <c r="L39" s="10" t="s">
        <v>48</v>
      </c>
      <c r="M39" s="10" t="s">
        <v>48</v>
      </c>
      <c r="N39" s="10" t="s">
        <v>48</v>
      </c>
      <c r="O39" s="10" t="s">
        <v>48</v>
      </c>
      <c r="P39" s="10" t="s">
        <v>48</v>
      </c>
      <c r="Q39" s="10" t="s">
        <v>48</v>
      </c>
      <c r="R39" s="10" t="s">
        <v>48</v>
      </c>
      <c r="S39" s="10" t="s">
        <v>48</v>
      </c>
      <c r="T39" s="10" t="s">
        <v>48</v>
      </c>
      <c r="U39" s="10" t="s">
        <v>48</v>
      </c>
      <c r="V39" s="10" t="s">
        <v>48</v>
      </c>
      <c r="W39" s="10" t="s">
        <v>48</v>
      </c>
      <c r="X39" s="10" t="s">
        <v>48</v>
      </c>
      <c r="Y39" s="10" t="s">
        <v>48</v>
      </c>
      <c r="Z39" s="10" t="s">
        <v>48</v>
      </c>
      <c r="AA39" s="10" t="s">
        <v>48</v>
      </c>
      <c r="AB39" s="10" t="s">
        <v>48</v>
      </c>
      <c r="AC39" s="10" t="s">
        <v>48</v>
      </c>
      <c r="AD39" s="10" t="s">
        <v>48</v>
      </c>
      <c r="AE39" s="10" t="s">
        <v>48</v>
      </c>
      <c r="AF39" s="10" t="s">
        <v>48</v>
      </c>
      <c r="AG39" s="10" t="s">
        <v>48</v>
      </c>
      <c r="AH39" s="10" t="s">
        <v>48</v>
      </c>
      <c r="AI39" s="10" t="s">
        <v>48</v>
      </c>
      <c r="AJ39" s="73">
        <f t="shared" si="0"/>
        <v>30</v>
      </c>
      <c r="AK39" s="73">
        <v>30</v>
      </c>
      <c r="AL39" s="181">
        <v>18000</v>
      </c>
    </row>
    <row r="40" spans="2:38" ht="16.05" customHeight="1" x14ac:dyDescent="0.3">
      <c r="B40" s="109">
        <v>39</v>
      </c>
      <c r="C40" s="168" t="s">
        <v>268</v>
      </c>
      <c r="D40" s="43" t="s">
        <v>269</v>
      </c>
      <c r="E40" s="43" t="s">
        <v>270</v>
      </c>
      <c r="F40" s="10"/>
      <c r="G40" s="10"/>
      <c r="H40" s="10"/>
      <c r="I40" s="10"/>
      <c r="J40" s="10"/>
      <c r="K40" s="10" t="s">
        <v>48</v>
      </c>
      <c r="L40" s="10" t="s">
        <v>48</v>
      </c>
      <c r="M40" s="10" t="s">
        <v>48</v>
      </c>
      <c r="N40" s="10" t="s">
        <v>48</v>
      </c>
      <c r="O40" s="10" t="s">
        <v>48</v>
      </c>
      <c r="P40" s="10" t="s">
        <v>48</v>
      </c>
      <c r="Q40" s="10" t="s">
        <v>48</v>
      </c>
      <c r="R40" s="10" t="s">
        <v>48</v>
      </c>
      <c r="S40" s="10"/>
      <c r="T40" s="10" t="s">
        <v>48</v>
      </c>
      <c r="U40" s="10" t="s">
        <v>48</v>
      </c>
      <c r="V40" s="10" t="s">
        <v>48</v>
      </c>
      <c r="W40" s="10" t="s">
        <v>48</v>
      </c>
      <c r="X40" s="10"/>
      <c r="Y40" s="10" t="s">
        <v>48</v>
      </c>
      <c r="Z40" s="10" t="s">
        <v>48</v>
      </c>
      <c r="AA40" s="10" t="s">
        <v>48</v>
      </c>
      <c r="AB40" s="10" t="s">
        <v>48</v>
      </c>
      <c r="AC40" s="10"/>
      <c r="AD40" s="10"/>
      <c r="AE40" s="10"/>
      <c r="AF40" s="10"/>
      <c r="AG40" s="10"/>
      <c r="AH40" s="10" t="s">
        <v>48</v>
      </c>
      <c r="AI40" s="10" t="s">
        <v>48</v>
      </c>
      <c r="AJ40" s="73">
        <f t="shared" si="0"/>
        <v>18</v>
      </c>
      <c r="AK40" s="73">
        <v>18</v>
      </c>
      <c r="AL40" s="181">
        <v>9900</v>
      </c>
    </row>
    <row r="41" spans="2:38" ht="16.05" customHeight="1" x14ac:dyDescent="0.3">
      <c r="B41" s="109">
        <v>40</v>
      </c>
      <c r="C41" s="173" t="s">
        <v>447</v>
      </c>
      <c r="D41" s="42" t="s">
        <v>446</v>
      </c>
      <c r="E41" s="42" t="s">
        <v>418</v>
      </c>
      <c r="F41" s="10"/>
      <c r="G41" s="10"/>
      <c r="H41" s="10" t="s">
        <v>48</v>
      </c>
      <c r="I41" s="10" t="s">
        <v>48</v>
      </c>
      <c r="J41" s="10" t="s">
        <v>48</v>
      </c>
      <c r="K41" s="10" t="s">
        <v>48</v>
      </c>
      <c r="L41" s="10" t="s">
        <v>48</v>
      </c>
      <c r="M41" s="10"/>
      <c r="N41" s="10"/>
      <c r="O41" s="10"/>
      <c r="P41" s="10" t="s">
        <v>48</v>
      </c>
      <c r="Q41" s="10" t="s">
        <v>48</v>
      </c>
      <c r="R41" s="10" t="s">
        <v>48</v>
      </c>
      <c r="S41" s="10"/>
      <c r="T41" s="10" t="s">
        <v>48</v>
      </c>
      <c r="U41" s="10" t="s">
        <v>48</v>
      </c>
      <c r="V41" s="10" t="s">
        <v>48</v>
      </c>
      <c r="W41" s="10" t="s">
        <v>48</v>
      </c>
      <c r="X41" s="10" t="s">
        <v>48</v>
      </c>
      <c r="Y41" s="10" t="s">
        <v>48</v>
      </c>
      <c r="Z41" s="10" t="s">
        <v>48</v>
      </c>
      <c r="AA41" s="10" t="s">
        <v>48</v>
      </c>
      <c r="AB41" s="10" t="s">
        <v>48</v>
      </c>
      <c r="AC41" s="10" t="s">
        <v>48</v>
      </c>
      <c r="AD41" s="10" t="s">
        <v>48</v>
      </c>
      <c r="AE41" s="10" t="s">
        <v>48</v>
      </c>
      <c r="AF41" s="10" t="s">
        <v>48</v>
      </c>
      <c r="AG41" s="10" t="s">
        <v>48</v>
      </c>
      <c r="AH41" s="10" t="s">
        <v>48</v>
      </c>
      <c r="AI41" s="10" t="s">
        <v>48</v>
      </c>
      <c r="AJ41" s="73">
        <f t="shared" si="0"/>
        <v>24</v>
      </c>
      <c r="AK41" s="73">
        <v>24</v>
      </c>
      <c r="AL41" s="181">
        <v>13200</v>
      </c>
    </row>
    <row r="42" spans="2:38" ht="16.05" customHeight="1" x14ac:dyDescent="0.3">
      <c r="B42" s="109">
        <v>41</v>
      </c>
      <c r="C42" s="168" t="s">
        <v>355</v>
      </c>
      <c r="D42" s="43" t="s">
        <v>353</v>
      </c>
      <c r="E42" s="43" t="s">
        <v>354</v>
      </c>
      <c r="F42" s="10" t="s">
        <v>48</v>
      </c>
      <c r="G42" s="10" t="s">
        <v>48</v>
      </c>
      <c r="H42" s="10"/>
      <c r="I42" s="10"/>
      <c r="J42" s="10"/>
      <c r="K42" s="10"/>
      <c r="L42" s="10"/>
      <c r="M42" s="10"/>
      <c r="N42" s="10"/>
      <c r="O42" s="10" t="s">
        <v>48</v>
      </c>
      <c r="P42" s="10" t="s">
        <v>48</v>
      </c>
      <c r="Q42" s="10" t="s">
        <v>48</v>
      </c>
      <c r="R42" s="10"/>
      <c r="S42" s="10"/>
      <c r="T42" s="10"/>
      <c r="U42" s="10"/>
      <c r="V42" s="10" t="s">
        <v>48</v>
      </c>
      <c r="W42" s="10" t="s">
        <v>48</v>
      </c>
      <c r="X42" s="10" t="s">
        <v>48</v>
      </c>
      <c r="Y42" s="10"/>
      <c r="Z42" s="10" t="s">
        <v>48</v>
      </c>
      <c r="AA42" s="10" t="s">
        <v>48</v>
      </c>
      <c r="AB42" s="10" t="s">
        <v>48</v>
      </c>
      <c r="AC42" s="10"/>
      <c r="AD42" s="10"/>
      <c r="AE42" s="10"/>
      <c r="AF42" s="10"/>
      <c r="AG42" s="10"/>
      <c r="AH42" s="10"/>
      <c r="AI42" s="10"/>
      <c r="AJ42" s="73">
        <f t="shared" si="0"/>
        <v>11</v>
      </c>
      <c r="AK42" s="73">
        <v>11</v>
      </c>
      <c r="AL42" s="181">
        <v>7700</v>
      </c>
    </row>
    <row r="43" spans="2:38" ht="16.05" customHeight="1" x14ac:dyDescent="0.3">
      <c r="B43" s="109">
        <v>42</v>
      </c>
      <c r="C43" s="173" t="s">
        <v>352</v>
      </c>
      <c r="D43" s="42" t="s">
        <v>350</v>
      </c>
      <c r="E43" s="42" t="s">
        <v>351</v>
      </c>
      <c r="F43" s="110" t="s">
        <v>48</v>
      </c>
      <c r="G43" s="110" t="s">
        <v>48</v>
      </c>
      <c r="H43" s="10"/>
      <c r="I43" s="10"/>
      <c r="J43" s="10"/>
      <c r="K43" s="10" t="s">
        <v>48</v>
      </c>
      <c r="L43" s="10" t="s">
        <v>48</v>
      </c>
      <c r="M43" s="10" t="s">
        <v>48</v>
      </c>
      <c r="N43" s="10"/>
      <c r="O43" s="10"/>
      <c r="P43" s="10"/>
      <c r="Q43" s="10"/>
      <c r="R43" s="10"/>
      <c r="S43" s="10"/>
      <c r="T43" s="10"/>
      <c r="U43" s="10"/>
      <c r="V43" s="10" t="s">
        <v>48</v>
      </c>
      <c r="W43" s="10" t="s">
        <v>48</v>
      </c>
      <c r="X43" s="10" t="s">
        <v>48</v>
      </c>
      <c r="Y43" s="10"/>
      <c r="Z43" s="10" t="s">
        <v>48</v>
      </c>
      <c r="AA43" s="10" t="s">
        <v>48</v>
      </c>
      <c r="AB43" s="10" t="s">
        <v>48</v>
      </c>
      <c r="AC43" s="10"/>
      <c r="AD43" s="10"/>
      <c r="AE43" s="10"/>
      <c r="AF43" s="10"/>
      <c r="AG43" s="10"/>
      <c r="AH43" s="10"/>
      <c r="AI43" s="10"/>
      <c r="AJ43" s="73">
        <f t="shared" si="0"/>
        <v>11</v>
      </c>
      <c r="AK43" s="73">
        <v>11</v>
      </c>
      <c r="AL43" s="181">
        <v>7700</v>
      </c>
    </row>
    <row r="44" spans="2:38" ht="16.05" customHeight="1" x14ac:dyDescent="0.3">
      <c r="B44" s="109">
        <v>43</v>
      </c>
      <c r="C44" s="173" t="s">
        <v>179</v>
      </c>
      <c r="D44" s="42" t="s">
        <v>180</v>
      </c>
      <c r="E44" s="42" t="s">
        <v>181</v>
      </c>
      <c r="F44" s="110" t="s">
        <v>48</v>
      </c>
      <c r="G44" s="110" t="s">
        <v>48</v>
      </c>
      <c r="H44" s="110" t="s">
        <v>48</v>
      </c>
      <c r="I44" s="110" t="s">
        <v>48</v>
      </c>
      <c r="J44" s="110" t="s">
        <v>48</v>
      </c>
      <c r="K44" s="110" t="s">
        <v>48</v>
      </c>
      <c r="L44" s="110" t="s">
        <v>48</v>
      </c>
      <c r="M44" s="110" t="s">
        <v>48</v>
      </c>
      <c r="N44" s="110" t="s">
        <v>48</v>
      </c>
      <c r="O44" s="10"/>
      <c r="P44" s="110" t="s">
        <v>48</v>
      </c>
      <c r="Q44" s="110" t="s">
        <v>48</v>
      </c>
      <c r="R44" s="110" t="s">
        <v>48</v>
      </c>
      <c r="S44" s="110" t="s">
        <v>48</v>
      </c>
      <c r="T44" s="10"/>
      <c r="U44" s="10"/>
      <c r="V44" s="110" t="s">
        <v>48</v>
      </c>
      <c r="W44" s="110" t="s">
        <v>48</v>
      </c>
      <c r="X44" s="10"/>
      <c r="Y44" s="10"/>
      <c r="Z44" s="10" t="s">
        <v>48</v>
      </c>
      <c r="AA44" s="10" t="s">
        <v>48</v>
      </c>
      <c r="AB44" s="10"/>
      <c r="AC44" s="10"/>
      <c r="AD44" s="10"/>
      <c r="AE44" s="10"/>
      <c r="AF44" s="10"/>
      <c r="AG44" s="10"/>
      <c r="AH44" s="10" t="s">
        <v>48</v>
      </c>
      <c r="AI44" s="10" t="s">
        <v>48</v>
      </c>
      <c r="AJ44" s="73">
        <f t="shared" si="0"/>
        <v>19</v>
      </c>
      <c r="AK44" s="73">
        <v>17</v>
      </c>
      <c r="AL44" s="181">
        <v>9370</v>
      </c>
    </row>
    <row r="45" spans="2:38" ht="16.05" customHeight="1" x14ac:dyDescent="0.3">
      <c r="B45" s="109">
        <v>44</v>
      </c>
      <c r="C45" s="168" t="s">
        <v>55</v>
      </c>
      <c r="D45" s="43" t="s">
        <v>62</v>
      </c>
      <c r="E45" s="43" t="s">
        <v>63</v>
      </c>
      <c r="F45" s="10" t="s">
        <v>48</v>
      </c>
      <c r="G45" s="10" t="s">
        <v>48</v>
      </c>
      <c r="H45" s="10"/>
      <c r="I45" s="10"/>
      <c r="J45" s="10"/>
      <c r="K45" s="10" t="s">
        <v>48</v>
      </c>
      <c r="L45" s="10" t="s">
        <v>48</v>
      </c>
      <c r="M45" s="10" t="s">
        <v>48</v>
      </c>
      <c r="N45" s="10"/>
      <c r="O45" s="10"/>
      <c r="P45" s="10"/>
      <c r="Q45" s="10"/>
      <c r="R45" s="10"/>
      <c r="S45" s="10"/>
      <c r="T45" s="10"/>
      <c r="U45" s="10"/>
      <c r="V45" s="10" t="s">
        <v>48</v>
      </c>
      <c r="W45" s="10" t="s">
        <v>48</v>
      </c>
      <c r="X45" s="10" t="s">
        <v>48</v>
      </c>
      <c r="Y45" s="10"/>
      <c r="Z45" s="10" t="s">
        <v>48</v>
      </c>
      <c r="AA45" s="10" t="s">
        <v>48</v>
      </c>
      <c r="AB45" s="10" t="s">
        <v>48</v>
      </c>
      <c r="AC45" s="10"/>
      <c r="AD45" s="10"/>
      <c r="AE45" s="10"/>
      <c r="AF45" s="10" t="s">
        <v>48</v>
      </c>
      <c r="AG45" s="10" t="s">
        <v>48</v>
      </c>
      <c r="AH45" s="10" t="s">
        <v>48</v>
      </c>
      <c r="AI45" s="10"/>
      <c r="AJ45" s="73">
        <f t="shared" si="0"/>
        <v>14</v>
      </c>
      <c r="AK45" s="73">
        <v>14</v>
      </c>
      <c r="AL45" s="181">
        <v>10500</v>
      </c>
    </row>
    <row r="46" spans="2:38" ht="16.05" customHeight="1" x14ac:dyDescent="0.3">
      <c r="B46" s="109">
        <v>45</v>
      </c>
      <c r="C46" s="173" t="s">
        <v>139</v>
      </c>
      <c r="D46" s="42" t="s">
        <v>146</v>
      </c>
      <c r="E46" s="42" t="s">
        <v>147</v>
      </c>
      <c r="F46" s="110" t="s">
        <v>48</v>
      </c>
      <c r="G46" s="10"/>
      <c r="H46" s="110" t="s">
        <v>48</v>
      </c>
      <c r="I46" s="110" t="s">
        <v>48</v>
      </c>
      <c r="J46" s="110" t="s">
        <v>48</v>
      </c>
      <c r="K46" s="110" t="s">
        <v>48</v>
      </c>
      <c r="L46" s="110" t="s">
        <v>48</v>
      </c>
      <c r="M46" s="110" t="s">
        <v>48</v>
      </c>
      <c r="N46" s="110" t="s">
        <v>48</v>
      </c>
      <c r="O46" s="110" t="s">
        <v>48</v>
      </c>
      <c r="P46" s="110" t="s">
        <v>48</v>
      </c>
      <c r="Q46" s="110" t="s">
        <v>48</v>
      </c>
      <c r="R46" s="110" t="s">
        <v>48</v>
      </c>
      <c r="S46" s="110" t="s">
        <v>48</v>
      </c>
      <c r="T46" s="110" t="s">
        <v>48</v>
      </c>
      <c r="U46" s="110" t="s">
        <v>48</v>
      </c>
      <c r="V46" s="110" t="s">
        <v>48</v>
      </c>
      <c r="W46" s="110" t="s">
        <v>48</v>
      </c>
      <c r="X46" s="110" t="s">
        <v>48</v>
      </c>
      <c r="Y46" s="110" t="s">
        <v>48</v>
      </c>
      <c r="Z46" s="110" t="s">
        <v>48</v>
      </c>
      <c r="AA46" s="110" t="s">
        <v>48</v>
      </c>
      <c r="AB46" s="110" t="s">
        <v>48</v>
      </c>
      <c r="AC46" s="110" t="s">
        <v>48</v>
      </c>
      <c r="AD46" s="110" t="s">
        <v>48</v>
      </c>
      <c r="AE46" s="110" t="s">
        <v>48</v>
      </c>
      <c r="AF46" s="110" t="s">
        <v>48</v>
      </c>
      <c r="AG46" s="110" t="s">
        <v>48</v>
      </c>
      <c r="AH46" s="110" t="s">
        <v>48</v>
      </c>
      <c r="AI46" s="110" t="s">
        <v>48</v>
      </c>
      <c r="AJ46" s="73">
        <f t="shared" si="0"/>
        <v>29</v>
      </c>
      <c r="AK46" s="73">
        <v>29</v>
      </c>
      <c r="AL46" s="181">
        <v>15950</v>
      </c>
    </row>
    <row r="47" spans="2:38" ht="16.05" customHeight="1" x14ac:dyDescent="0.3">
      <c r="B47" s="109">
        <v>46</v>
      </c>
      <c r="C47" s="168" t="s">
        <v>380</v>
      </c>
      <c r="D47" s="43" t="s">
        <v>379</v>
      </c>
      <c r="E47" s="43" t="s">
        <v>110</v>
      </c>
      <c r="F47" s="10"/>
      <c r="G47" s="10"/>
      <c r="H47" s="10"/>
      <c r="I47" s="10"/>
      <c r="J47" s="10"/>
      <c r="K47" s="10"/>
      <c r="L47" s="10" t="s">
        <v>48</v>
      </c>
      <c r="M47" s="10" t="s">
        <v>48</v>
      </c>
      <c r="N47" s="10" t="s">
        <v>48</v>
      </c>
      <c r="O47" s="10" t="s">
        <v>48</v>
      </c>
      <c r="P47" s="10"/>
      <c r="Q47" s="10" t="s">
        <v>48</v>
      </c>
      <c r="R47" s="10" t="s">
        <v>48</v>
      </c>
      <c r="S47" s="10" t="s">
        <v>48</v>
      </c>
      <c r="T47" s="10" t="s">
        <v>48</v>
      </c>
      <c r="U47" s="10"/>
      <c r="V47" s="10" t="s">
        <v>48</v>
      </c>
      <c r="W47" s="10" t="s">
        <v>48</v>
      </c>
      <c r="X47" s="10" t="s">
        <v>48</v>
      </c>
      <c r="Y47" s="10" t="s">
        <v>48</v>
      </c>
      <c r="Z47" s="10" t="s">
        <v>48</v>
      </c>
      <c r="AA47" s="10" t="s">
        <v>48</v>
      </c>
      <c r="AB47" s="10"/>
      <c r="AC47" s="10"/>
      <c r="AD47" s="10"/>
      <c r="AE47" s="10"/>
      <c r="AF47" s="10" t="s">
        <v>48</v>
      </c>
      <c r="AG47" s="10" t="s">
        <v>48</v>
      </c>
      <c r="AH47" s="10" t="s">
        <v>48</v>
      </c>
      <c r="AI47" s="10" t="s">
        <v>48</v>
      </c>
      <c r="AJ47" s="73">
        <f t="shared" si="0"/>
        <v>18</v>
      </c>
      <c r="AK47" s="73">
        <v>18</v>
      </c>
      <c r="AL47" s="181">
        <v>10100</v>
      </c>
    </row>
    <row r="48" spans="2:38" ht="16.05" customHeight="1" x14ac:dyDescent="0.3">
      <c r="B48" s="109">
        <v>47</v>
      </c>
      <c r="C48" s="173" t="s">
        <v>155</v>
      </c>
      <c r="D48" s="42" t="s">
        <v>161</v>
      </c>
      <c r="E48" s="42" t="s">
        <v>162</v>
      </c>
      <c r="F48" s="110" t="s">
        <v>48</v>
      </c>
      <c r="G48" s="110" t="s">
        <v>48</v>
      </c>
      <c r="H48" s="110" t="s">
        <v>48</v>
      </c>
      <c r="I48" s="10" t="s">
        <v>48</v>
      </c>
      <c r="J48" s="10" t="s">
        <v>48</v>
      </c>
      <c r="K48" s="10"/>
      <c r="L48" s="10" t="s">
        <v>48</v>
      </c>
      <c r="M48" s="10" t="s">
        <v>48</v>
      </c>
      <c r="N48" s="10"/>
      <c r="O48" s="10"/>
      <c r="P48" s="10"/>
      <c r="Q48" s="10"/>
      <c r="R48" s="10"/>
      <c r="S48" s="10" t="s">
        <v>48</v>
      </c>
      <c r="T48" s="10" t="s">
        <v>48</v>
      </c>
      <c r="U48" s="10" t="s">
        <v>48</v>
      </c>
      <c r="V48" s="10" t="s">
        <v>48</v>
      </c>
      <c r="W48" s="10"/>
      <c r="X48" s="10"/>
      <c r="Y48" s="10"/>
      <c r="Z48" s="10" t="s">
        <v>48</v>
      </c>
      <c r="AA48" s="10" t="s">
        <v>48</v>
      </c>
      <c r="AB48" s="10" t="s">
        <v>48</v>
      </c>
      <c r="AC48" s="10" t="s">
        <v>48</v>
      </c>
      <c r="AD48" s="10"/>
      <c r="AE48" s="10"/>
      <c r="AF48" s="10"/>
      <c r="AG48" s="10"/>
      <c r="AH48" s="10"/>
      <c r="AI48" s="10"/>
      <c r="AJ48" s="73">
        <f t="shared" si="0"/>
        <v>15</v>
      </c>
      <c r="AK48" s="73">
        <v>11</v>
      </c>
      <c r="AL48" s="181">
        <v>6050</v>
      </c>
    </row>
    <row r="49" spans="2:38" ht="16.05" customHeight="1" x14ac:dyDescent="0.3">
      <c r="B49" s="109">
        <v>48</v>
      </c>
      <c r="C49" s="168" t="s">
        <v>683</v>
      </c>
      <c r="D49" s="43" t="s">
        <v>662</v>
      </c>
      <c r="E49" s="43" t="s">
        <v>663</v>
      </c>
      <c r="F49" s="10" t="s">
        <v>48</v>
      </c>
      <c r="G49" s="10" t="s">
        <v>48</v>
      </c>
      <c r="H49" s="10" t="s">
        <v>48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 t="s">
        <v>48</v>
      </c>
      <c r="AA49" s="10" t="s">
        <v>48</v>
      </c>
      <c r="AB49" s="10" t="s">
        <v>48</v>
      </c>
      <c r="AC49" s="10" t="s">
        <v>48</v>
      </c>
      <c r="AD49" s="10"/>
      <c r="AE49" s="10"/>
      <c r="AF49" s="10"/>
      <c r="AG49" s="10"/>
      <c r="AH49" s="10"/>
      <c r="AI49" s="10"/>
      <c r="AJ49" s="73">
        <f t="shared" si="0"/>
        <v>7</v>
      </c>
      <c r="AK49" s="73">
        <v>7</v>
      </c>
      <c r="AL49" s="181">
        <v>3850</v>
      </c>
    </row>
    <row r="50" spans="2:38" ht="16.05" customHeight="1" x14ac:dyDescent="0.3">
      <c r="B50" s="109">
        <v>49</v>
      </c>
      <c r="C50" s="173" t="s">
        <v>154</v>
      </c>
      <c r="D50" s="42" t="s">
        <v>159</v>
      </c>
      <c r="E50" s="42" t="s">
        <v>160</v>
      </c>
      <c r="F50" s="110" t="s">
        <v>48</v>
      </c>
      <c r="G50" s="110" t="s">
        <v>48</v>
      </c>
      <c r="H50" s="110" t="s">
        <v>48</v>
      </c>
      <c r="I50" s="10"/>
      <c r="J50" s="10" t="s">
        <v>48</v>
      </c>
      <c r="K50" s="10" t="s">
        <v>48</v>
      </c>
      <c r="L50" s="10" t="s">
        <v>48</v>
      </c>
      <c r="M50" s="10" t="s">
        <v>48</v>
      </c>
      <c r="N50" s="10"/>
      <c r="O50" s="10" t="s">
        <v>48</v>
      </c>
      <c r="P50" s="10" t="s">
        <v>48</v>
      </c>
      <c r="Q50" s="10" t="s">
        <v>48</v>
      </c>
      <c r="R50" s="10" t="s">
        <v>48</v>
      </c>
      <c r="S50" s="10" t="s">
        <v>48</v>
      </c>
      <c r="T50" s="10" t="s">
        <v>48</v>
      </c>
      <c r="U50" s="10" t="s">
        <v>48</v>
      </c>
      <c r="V50" s="10" t="s">
        <v>48</v>
      </c>
      <c r="W50" s="10"/>
      <c r="X50" s="10" t="s">
        <v>48</v>
      </c>
      <c r="Y50" s="10" t="s">
        <v>48</v>
      </c>
      <c r="Z50" s="10" t="s">
        <v>48</v>
      </c>
      <c r="AA50" s="10" t="s">
        <v>48</v>
      </c>
      <c r="AB50" s="10"/>
      <c r="AC50" s="10"/>
      <c r="AD50" s="10"/>
      <c r="AE50" s="10"/>
      <c r="AF50" s="10"/>
      <c r="AG50" s="10"/>
      <c r="AH50" s="10"/>
      <c r="AI50" s="10"/>
      <c r="AJ50" s="73">
        <f t="shared" si="0"/>
        <v>19</v>
      </c>
      <c r="AK50" s="73">
        <v>19</v>
      </c>
      <c r="AL50" s="181">
        <v>10450</v>
      </c>
    </row>
    <row r="51" spans="2:38" ht="16.05" customHeight="1" x14ac:dyDescent="0.3">
      <c r="B51" s="109">
        <v>50</v>
      </c>
      <c r="C51" s="168" t="s">
        <v>153</v>
      </c>
      <c r="D51" s="43" t="s">
        <v>157</v>
      </c>
      <c r="E51" s="43" t="s">
        <v>158</v>
      </c>
      <c r="F51" s="10" t="s">
        <v>48</v>
      </c>
      <c r="G51" s="10" t="s">
        <v>48</v>
      </c>
      <c r="H51" s="10" t="s">
        <v>48</v>
      </c>
      <c r="I51" s="10"/>
      <c r="J51" s="10" t="s">
        <v>48</v>
      </c>
      <c r="K51" s="10" t="s">
        <v>48</v>
      </c>
      <c r="L51" s="10" t="s">
        <v>48</v>
      </c>
      <c r="M51" s="10" t="s">
        <v>48</v>
      </c>
      <c r="N51" s="10"/>
      <c r="O51" s="10" t="s">
        <v>48</v>
      </c>
      <c r="P51" s="10" t="s">
        <v>48</v>
      </c>
      <c r="Q51" s="10" t="s">
        <v>48</v>
      </c>
      <c r="R51" s="10" t="s">
        <v>48</v>
      </c>
      <c r="S51" s="10" t="s">
        <v>48</v>
      </c>
      <c r="T51" s="10" t="s">
        <v>48</v>
      </c>
      <c r="U51" s="10" t="s">
        <v>48</v>
      </c>
      <c r="V51" s="10" t="s">
        <v>48</v>
      </c>
      <c r="W51" s="10"/>
      <c r="X51" s="10" t="s">
        <v>48</v>
      </c>
      <c r="Y51" s="10" t="s">
        <v>48</v>
      </c>
      <c r="Z51" s="10" t="s">
        <v>48</v>
      </c>
      <c r="AA51" s="10" t="s">
        <v>48</v>
      </c>
      <c r="AB51" s="10"/>
      <c r="AC51" s="10" t="s">
        <v>48</v>
      </c>
      <c r="AD51" s="10" t="s">
        <v>48</v>
      </c>
      <c r="AE51" s="10" t="s">
        <v>48</v>
      </c>
      <c r="AF51" s="10" t="s">
        <v>48</v>
      </c>
      <c r="AG51" s="10" t="s">
        <v>48</v>
      </c>
      <c r="AH51" s="10" t="s">
        <v>48</v>
      </c>
      <c r="AI51" s="10" t="s">
        <v>48</v>
      </c>
      <c r="AJ51" s="73">
        <f t="shared" si="0"/>
        <v>26</v>
      </c>
      <c r="AK51" s="73">
        <v>26</v>
      </c>
      <c r="AL51" s="181">
        <v>17333</v>
      </c>
    </row>
    <row r="52" spans="2:38" ht="16.05" customHeight="1" x14ac:dyDescent="0.3">
      <c r="B52" s="109">
        <v>51</v>
      </c>
      <c r="C52" s="173" t="s">
        <v>394</v>
      </c>
      <c r="D52" s="42" t="s">
        <v>392</v>
      </c>
      <c r="E52" s="42" t="s">
        <v>393</v>
      </c>
      <c r="F52" s="110" t="s">
        <v>48</v>
      </c>
      <c r="G52" s="10"/>
      <c r="H52" s="110" t="s">
        <v>48</v>
      </c>
      <c r="I52" s="110" t="s">
        <v>48</v>
      </c>
      <c r="J52" s="110" t="s">
        <v>48</v>
      </c>
      <c r="K52" s="110" t="s">
        <v>48</v>
      </c>
      <c r="L52" s="110" t="s">
        <v>48</v>
      </c>
      <c r="M52" s="110" t="s">
        <v>48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73">
        <f t="shared" si="0"/>
        <v>7</v>
      </c>
      <c r="AK52" s="73">
        <v>7</v>
      </c>
      <c r="AL52" s="181">
        <v>7000</v>
      </c>
    </row>
    <row r="53" spans="2:38" ht="16.05" customHeight="1" x14ac:dyDescent="0.3">
      <c r="B53" s="109">
        <v>52</v>
      </c>
      <c r="C53" s="168" t="s">
        <v>141</v>
      </c>
      <c r="D53" s="43" t="s">
        <v>149</v>
      </c>
      <c r="E53" s="43" t="s">
        <v>135</v>
      </c>
      <c r="F53" s="10"/>
      <c r="G53" s="10" t="s">
        <v>48</v>
      </c>
      <c r="H53" s="10" t="s">
        <v>48</v>
      </c>
      <c r="I53" s="10" t="s">
        <v>48</v>
      </c>
      <c r="J53" s="10" t="s">
        <v>48</v>
      </c>
      <c r="K53" s="10" t="s">
        <v>48</v>
      </c>
      <c r="L53" s="10" t="s">
        <v>48</v>
      </c>
      <c r="M53" s="10" t="s">
        <v>48</v>
      </c>
      <c r="N53" s="10" t="s">
        <v>48</v>
      </c>
      <c r="O53" s="10"/>
      <c r="P53" s="10" t="s">
        <v>48</v>
      </c>
      <c r="Q53" s="10" t="s">
        <v>48</v>
      </c>
      <c r="R53" s="10" t="s">
        <v>48</v>
      </c>
      <c r="S53" s="10" t="s">
        <v>48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73">
        <f t="shared" si="0"/>
        <v>12</v>
      </c>
      <c r="AK53" s="73">
        <v>12</v>
      </c>
      <c r="AL53" s="181">
        <v>6600</v>
      </c>
    </row>
    <row r="54" spans="2:38" ht="16.05" customHeight="1" x14ac:dyDescent="0.3">
      <c r="B54" s="109">
        <v>53</v>
      </c>
      <c r="C54" s="173" t="s">
        <v>233</v>
      </c>
      <c r="D54" s="42" t="s">
        <v>234</v>
      </c>
      <c r="E54" s="42" t="s">
        <v>235</v>
      </c>
      <c r="F54" s="10"/>
      <c r="G54" s="10"/>
      <c r="H54" s="110" t="s">
        <v>48</v>
      </c>
      <c r="I54" s="110" t="s">
        <v>48</v>
      </c>
      <c r="J54" s="110" t="s">
        <v>48</v>
      </c>
      <c r="K54" s="110" t="s">
        <v>48</v>
      </c>
      <c r="L54" s="110" t="s">
        <v>48</v>
      </c>
      <c r="M54" s="110" t="s">
        <v>48</v>
      </c>
      <c r="N54" s="110" t="s">
        <v>48</v>
      </c>
      <c r="O54" s="110" t="s">
        <v>48</v>
      </c>
      <c r="P54" s="110" t="s">
        <v>48</v>
      </c>
      <c r="Q54" s="110" t="s">
        <v>48</v>
      </c>
      <c r="R54" s="110" t="s">
        <v>48</v>
      </c>
      <c r="S54" s="110" t="s">
        <v>48</v>
      </c>
      <c r="T54" s="110" t="s">
        <v>48</v>
      </c>
      <c r="U54" s="110" t="s">
        <v>48</v>
      </c>
      <c r="V54" s="110" t="s">
        <v>48</v>
      </c>
      <c r="W54" s="110" t="s">
        <v>48</v>
      </c>
      <c r="X54" s="110" t="s">
        <v>48</v>
      </c>
      <c r="Y54" s="110" t="s">
        <v>48</v>
      </c>
      <c r="Z54" s="110" t="s">
        <v>48</v>
      </c>
      <c r="AA54" s="110" t="s">
        <v>48</v>
      </c>
      <c r="AB54" s="110" t="s">
        <v>48</v>
      </c>
      <c r="AC54" s="110" t="s">
        <v>48</v>
      </c>
      <c r="AD54" s="110" t="s">
        <v>48</v>
      </c>
      <c r="AE54" s="110" t="s">
        <v>48</v>
      </c>
      <c r="AF54" s="10"/>
      <c r="AG54" s="10"/>
      <c r="AH54" s="10"/>
      <c r="AI54" s="10"/>
      <c r="AJ54" s="73">
        <f t="shared" si="0"/>
        <v>24</v>
      </c>
      <c r="AK54" s="73">
        <v>24</v>
      </c>
      <c r="AL54" s="181">
        <v>13200</v>
      </c>
    </row>
    <row r="55" spans="2:38" ht="16.05" customHeight="1" x14ac:dyDescent="0.3">
      <c r="B55" s="109">
        <v>54</v>
      </c>
      <c r="C55" s="168" t="s">
        <v>219</v>
      </c>
      <c r="D55" s="43" t="s">
        <v>220</v>
      </c>
      <c r="E55" s="43" t="s">
        <v>218</v>
      </c>
      <c r="F55" s="10" t="s">
        <v>48</v>
      </c>
      <c r="G55" s="10"/>
      <c r="H55" s="10"/>
      <c r="I55" s="10" t="s">
        <v>48</v>
      </c>
      <c r="J55" s="10" t="s">
        <v>48</v>
      </c>
      <c r="K55" s="10" t="s">
        <v>48</v>
      </c>
      <c r="L55" s="10" t="s">
        <v>48</v>
      </c>
      <c r="M55" s="10" t="s">
        <v>48</v>
      </c>
      <c r="N55" s="10" t="s">
        <v>48</v>
      </c>
      <c r="O55" s="10" t="s">
        <v>48</v>
      </c>
      <c r="P55" s="10" t="s">
        <v>48</v>
      </c>
      <c r="Q55" s="10" t="s">
        <v>48</v>
      </c>
      <c r="R55" s="10"/>
      <c r="S55" s="10"/>
      <c r="T55" s="10"/>
      <c r="U55" s="10" t="s">
        <v>48</v>
      </c>
      <c r="V55" s="10" t="s">
        <v>48</v>
      </c>
      <c r="W55" s="10" t="s">
        <v>48</v>
      </c>
      <c r="X55" s="10" t="s">
        <v>48</v>
      </c>
      <c r="Y55" s="10" t="s">
        <v>48</v>
      </c>
      <c r="Z55" s="10" t="s">
        <v>48</v>
      </c>
      <c r="AA55" s="10" t="s">
        <v>48</v>
      </c>
      <c r="AB55" s="10" t="s">
        <v>48</v>
      </c>
      <c r="AC55" s="10"/>
      <c r="AD55" s="10"/>
      <c r="AE55" s="10"/>
      <c r="AF55" s="10" t="s">
        <v>48</v>
      </c>
      <c r="AG55" s="10" t="s">
        <v>48</v>
      </c>
      <c r="AH55" s="10" t="s">
        <v>48</v>
      </c>
      <c r="AI55" s="10"/>
      <c r="AJ55" s="73">
        <f t="shared" si="0"/>
        <v>21</v>
      </c>
      <c r="AK55" s="73">
        <v>21</v>
      </c>
      <c r="AL55" s="181">
        <v>12270</v>
      </c>
    </row>
    <row r="56" spans="2:38" ht="16.05" customHeight="1" x14ac:dyDescent="0.3">
      <c r="B56" s="109">
        <v>55</v>
      </c>
      <c r="C56" s="173" t="s">
        <v>619</v>
      </c>
      <c r="D56" s="42" t="s">
        <v>87</v>
      </c>
      <c r="E56" s="42" t="s">
        <v>88</v>
      </c>
      <c r="F56" s="110" t="s">
        <v>48</v>
      </c>
      <c r="G56" s="110" t="s">
        <v>48</v>
      </c>
      <c r="H56" s="110" t="s">
        <v>48</v>
      </c>
      <c r="I56" s="110" t="s">
        <v>48</v>
      </c>
      <c r="J56" s="110" t="s">
        <v>48</v>
      </c>
      <c r="K56" s="10"/>
      <c r="L56" s="10" t="s">
        <v>48</v>
      </c>
      <c r="M56" s="10" t="s">
        <v>48</v>
      </c>
      <c r="N56" s="10" t="s">
        <v>48</v>
      </c>
      <c r="O56" s="10" t="s">
        <v>48</v>
      </c>
      <c r="P56" s="10" t="s">
        <v>48</v>
      </c>
      <c r="Q56" s="10" t="s">
        <v>48</v>
      </c>
      <c r="R56" s="10"/>
      <c r="S56" s="10" t="s">
        <v>48</v>
      </c>
      <c r="T56" s="10" t="s">
        <v>48</v>
      </c>
      <c r="U56" s="10" t="s">
        <v>48</v>
      </c>
      <c r="V56" s="10" t="s">
        <v>48</v>
      </c>
      <c r="W56" s="10" t="s">
        <v>48</v>
      </c>
      <c r="X56" s="10" t="s">
        <v>48</v>
      </c>
      <c r="Y56" s="10" t="s">
        <v>48</v>
      </c>
      <c r="Z56" s="10" t="s">
        <v>48</v>
      </c>
      <c r="AA56" s="10"/>
      <c r="AB56" s="10"/>
      <c r="AC56" s="10"/>
      <c r="AD56" s="10"/>
      <c r="AE56" s="10"/>
      <c r="AF56" s="10"/>
      <c r="AG56" s="10" t="s">
        <v>48</v>
      </c>
      <c r="AH56" s="10" t="s">
        <v>48</v>
      </c>
      <c r="AI56" s="10" t="s">
        <v>48</v>
      </c>
      <c r="AJ56" s="73">
        <f t="shared" si="0"/>
        <v>22</v>
      </c>
      <c r="AK56" s="73">
        <v>22</v>
      </c>
      <c r="AL56" s="181">
        <v>12120</v>
      </c>
    </row>
    <row r="57" spans="2:38" ht="16.05" customHeight="1" x14ac:dyDescent="0.3">
      <c r="B57" s="109">
        <v>56</v>
      </c>
      <c r="C57" s="168" t="s">
        <v>410</v>
      </c>
      <c r="D57" s="43" t="s">
        <v>408</v>
      </c>
      <c r="E57" s="43" t="s">
        <v>409</v>
      </c>
      <c r="F57" s="10" t="s">
        <v>48</v>
      </c>
      <c r="G57" s="10" t="s">
        <v>48</v>
      </c>
      <c r="H57" s="10"/>
      <c r="I57" s="10" t="s">
        <v>48</v>
      </c>
      <c r="J57" s="10" t="s">
        <v>48</v>
      </c>
      <c r="K57" s="10" t="s">
        <v>48</v>
      </c>
      <c r="L57" s="10" t="s">
        <v>48</v>
      </c>
      <c r="M57" s="10" t="s">
        <v>48</v>
      </c>
      <c r="N57" s="10" t="s">
        <v>48</v>
      </c>
      <c r="O57" s="10"/>
      <c r="P57" s="10" t="s">
        <v>48</v>
      </c>
      <c r="Q57" s="10" t="s">
        <v>48</v>
      </c>
      <c r="R57" s="10" t="s">
        <v>48</v>
      </c>
      <c r="S57" s="10" t="s">
        <v>48</v>
      </c>
      <c r="T57" s="10" t="s">
        <v>48</v>
      </c>
      <c r="U57" s="10" t="s">
        <v>48</v>
      </c>
      <c r="V57" s="10" t="s">
        <v>48</v>
      </c>
      <c r="W57" s="10" t="s">
        <v>48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73">
        <f t="shared" si="0"/>
        <v>16</v>
      </c>
      <c r="AK57" s="73">
        <v>16</v>
      </c>
      <c r="AL57" s="181">
        <v>9000</v>
      </c>
    </row>
    <row r="58" spans="2:38" ht="16.05" customHeight="1" x14ac:dyDescent="0.3">
      <c r="B58" s="109">
        <v>57</v>
      </c>
      <c r="C58" s="173" t="s">
        <v>378</v>
      </c>
      <c r="D58" s="42" t="s">
        <v>377</v>
      </c>
      <c r="E58" s="42" t="s">
        <v>185</v>
      </c>
      <c r="F58" s="110" t="s">
        <v>48</v>
      </c>
      <c r="G58" s="110" t="s">
        <v>48</v>
      </c>
      <c r="H58" s="110" t="s">
        <v>412</v>
      </c>
      <c r="I58" s="110" t="s">
        <v>48</v>
      </c>
      <c r="J58" s="110" t="s">
        <v>48</v>
      </c>
      <c r="K58" s="110" t="s">
        <v>48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 t="s">
        <v>48</v>
      </c>
      <c r="AJ58" s="73">
        <f t="shared" ref="AJ58:AJ95" si="1">COUNTIF(F58:AI58,"p")+COUNTIF(F58:AI58,"pp")+COUNTIF(F58:AI58,"pp")</f>
        <v>8</v>
      </c>
      <c r="AK58" s="73">
        <v>12</v>
      </c>
      <c r="AL58" s="181">
        <v>6620</v>
      </c>
    </row>
    <row r="59" spans="2:38" ht="16.05" customHeight="1" x14ac:dyDescent="0.3">
      <c r="B59" s="109">
        <v>58</v>
      </c>
      <c r="C59" s="168" t="s">
        <v>407</v>
      </c>
      <c r="D59" s="43" t="s">
        <v>405</v>
      </c>
      <c r="E59" s="43" t="s">
        <v>406</v>
      </c>
      <c r="F59" s="10" t="s">
        <v>48</v>
      </c>
      <c r="G59" s="10" t="s">
        <v>48</v>
      </c>
      <c r="H59" s="10"/>
      <c r="I59" s="10" t="s">
        <v>48</v>
      </c>
      <c r="J59" s="10" t="s">
        <v>48</v>
      </c>
      <c r="K59" s="10"/>
      <c r="L59" s="10" t="s">
        <v>48</v>
      </c>
      <c r="M59" s="10" t="s">
        <v>48</v>
      </c>
      <c r="N59" s="10"/>
      <c r="O59" s="10"/>
      <c r="P59" s="10"/>
      <c r="Q59" s="10"/>
      <c r="R59" s="10"/>
      <c r="S59" s="10"/>
      <c r="T59" s="10"/>
      <c r="U59" s="10"/>
      <c r="V59" s="10"/>
      <c r="W59" s="10" t="s">
        <v>48</v>
      </c>
      <c r="X59" s="10" t="s">
        <v>48</v>
      </c>
      <c r="Y59" s="10" t="s">
        <v>48</v>
      </c>
      <c r="Z59" s="10" t="s">
        <v>48</v>
      </c>
      <c r="AA59" s="10" t="s">
        <v>48</v>
      </c>
      <c r="AB59" s="10" t="s">
        <v>48</v>
      </c>
      <c r="AC59" s="10"/>
      <c r="AD59" s="10"/>
      <c r="AE59" s="10"/>
      <c r="AF59" s="10" t="s">
        <v>48</v>
      </c>
      <c r="AG59" s="10" t="s">
        <v>48</v>
      </c>
      <c r="AH59" s="10"/>
      <c r="AI59" s="10"/>
      <c r="AJ59" s="73">
        <f t="shared" si="1"/>
        <v>14</v>
      </c>
      <c r="AK59" s="73">
        <v>14</v>
      </c>
      <c r="AL59" s="181">
        <v>7900</v>
      </c>
    </row>
    <row r="60" spans="2:38" ht="16.05" customHeight="1" x14ac:dyDescent="0.3">
      <c r="B60" s="109">
        <v>59</v>
      </c>
      <c r="C60" s="173" t="s">
        <v>170</v>
      </c>
      <c r="D60" s="42" t="s">
        <v>171</v>
      </c>
      <c r="E60" s="42" t="s">
        <v>172</v>
      </c>
      <c r="F60" s="110" t="s">
        <v>48</v>
      </c>
      <c r="G60" s="110" t="s">
        <v>48</v>
      </c>
      <c r="H60" s="10"/>
      <c r="I60" s="10"/>
      <c r="J60" s="10"/>
      <c r="K60" s="10" t="s">
        <v>48</v>
      </c>
      <c r="L60" s="10" t="s">
        <v>48</v>
      </c>
      <c r="M60" s="10" t="s">
        <v>48</v>
      </c>
      <c r="N60" s="10" t="s">
        <v>48</v>
      </c>
      <c r="O60" s="10"/>
      <c r="P60" s="10"/>
      <c r="Q60" s="10"/>
      <c r="R60" s="10" t="s">
        <v>48</v>
      </c>
      <c r="S60" s="10" t="s">
        <v>48</v>
      </c>
      <c r="T60" s="10" t="s">
        <v>48</v>
      </c>
      <c r="U60" s="10" t="s">
        <v>48</v>
      </c>
      <c r="V60" s="10"/>
      <c r="W60" s="10"/>
      <c r="X60" s="10"/>
      <c r="Y60" s="10" t="s">
        <v>48</v>
      </c>
      <c r="Z60" s="10" t="s">
        <v>48</v>
      </c>
      <c r="AA60" s="10" t="s">
        <v>48</v>
      </c>
      <c r="AB60" s="10" t="s">
        <v>48</v>
      </c>
      <c r="AC60" s="10"/>
      <c r="AD60" s="10"/>
      <c r="AE60" s="10"/>
      <c r="AF60" s="10"/>
      <c r="AG60" s="10"/>
      <c r="AH60" s="10" t="s">
        <v>48</v>
      </c>
      <c r="AI60" s="10" t="s">
        <v>48</v>
      </c>
      <c r="AJ60" s="73">
        <f t="shared" si="1"/>
        <v>16</v>
      </c>
      <c r="AK60" s="73">
        <v>16</v>
      </c>
      <c r="AL60" s="181">
        <v>8440</v>
      </c>
    </row>
    <row r="61" spans="2:38" ht="16.05" customHeight="1" x14ac:dyDescent="0.3">
      <c r="B61" s="109">
        <v>60</v>
      </c>
      <c r="C61" s="173" t="s">
        <v>198</v>
      </c>
      <c r="D61" s="42" t="s">
        <v>199</v>
      </c>
      <c r="E61" s="42" t="s">
        <v>200</v>
      </c>
      <c r="F61" s="110" t="s">
        <v>48</v>
      </c>
      <c r="G61" s="110" t="s">
        <v>48</v>
      </c>
      <c r="H61" s="10"/>
      <c r="I61" s="10"/>
      <c r="J61" s="10"/>
      <c r="K61" s="10"/>
      <c r="L61" s="10"/>
      <c r="M61" s="10"/>
      <c r="N61" s="10"/>
      <c r="O61" s="10" t="s">
        <v>48</v>
      </c>
      <c r="P61" s="10" t="s">
        <v>48</v>
      </c>
      <c r="Q61" s="10" t="s">
        <v>48</v>
      </c>
      <c r="R61" s="10" t="s">
        <v>48</v>
      </c>
      <c r="S61" s="10" t="s">
        <v>48</v>
      </c>
      <c r="T61" s="10" t="s">
        <v>48</v>
      </c>
      <c r="U61" s="10" t="s">
        <v>48</v>
      </c>
      <c r="V61" s="10" t="s">
        <v>48</v>
      </c>
      <c r="W61" s="10" t="s">
        <v>48</v>
      </c>
      <c r="X61" s="10" t="s">
        <v>48</v>
      </c>
      <c r="Y61" s="10" t="s">
        <v>48</v>
      </c>
      <c r="Z61" s="10" t="s">
        <v>48</v>
      </c>
      <c r="AA61" s="10"/>
      <c r="AB61" s="10"/>
      <c r="AC61" s="10"/>
      <c r="AD61" s="10"/>
      <c r="AE61" s="10" t="s">
        <v>48</v>
      </c>
      <c r="AF61" s="10" t="s">
        <v>48</v>
      </c>
      <c r="AG61" s="10" t="s">
        <v>48</v>
      </c>
      <c r="AH61" s="10" t="s">
        <v>48</v>
      </c>
      <c r="AI61" s="10"/>
      <c r="AJ61" s="73">
        <f t="shared" si="1"/>
        <v>18</v>
      </c>
      <c r="AK61" s="73">
        <v>18</v>
      </c>
      <c r="AL61" s="181">
        <v>9900</v>
      </c>
    </row>
    <row r="62" spans="2:38" ht="16.05" customHeight="1" x14ac:dyDescent="0.3">
      <c r="B62" s="109">
        <v>61</v>
      </c>
      <c r="C62" s="173" t="s">
        <v>262</v>
      </c>
      <c r="D62" s="42" t="s">
        <v>263</v>
      </c>
      <c r="E62" s="42" t="s">
        <v>264</v>
      </c>
      <c r="F62" s="110" t="s">
        <v>48</v>
      </c>
      <c r="G62" s="10"/>
      <c r="H62" s="110" t="s">
        <v>48</v>
      </c>
      <c r="I62" s="110" t="s">
        <v>48</v>
      </c>
      <c r="J62" s="110" t="s">
        <v>48</v>
      </c>
      <c r="K62" s="110" t="s">
        <v>48</v>
      </c>
      <c r="L62" s="110" t="s">
        <v>48</v>
      </c>
      <c r="M62" s="110" t="s">
        <v>48</v>
      </c>
      <c r="N62" s="110" t="s">
        <v>48</v>
      </c>
      <c r="O62" s="110" t="s">
        <v>48</v>
      </c>
      <c r="P62" s="10"/>
      <c r="Q62" s="110" t="s">
        <v>48</v>
      </c>
      <c r="R62" s="110" t="s">
        <v>48</v>
      </c>
      <c r="S62" s="110" t="s">
        <v>48</v>
      </c>
      <c r="T62" s="110" t="s">
        <v>48</v>
      </c>
      <c r="U62" s="10"/>
      <c r="V62" s="110" t="s">
        <v>48</v>
      </c>
      <c r="W62" s="110" t="s">
        <v>48</v>
      </c>
      <c r="X62" s="110" t="s">
        <v>48</v>
      </c>
      <c r="Y62" s="110" t="s">
        <v>48</v>
      </c>
      <c r="Z62" s="110" t="s">
        <v>48</v>
      </c>
      <c r="AA62" s="110" t="s">
        <v>48</v>
      </c>
      <c r="AB62" s="110" t="s">
        <v>48</v>
      </c>
      <c r="AC62" s="110" t="s">
        <v>48</v>
      </c>
      <c r="AD62" s="10"/>
      <c r="AE62" s="110" t="s">
        <v>48</v>
      </c>
      <c r="AF62" s="110" t="s">
        <v>48</v>
      </c>
      <c r="AG62" s="110" t="s">
        <v>48</v>
      </c>
      <c r="AH62" s="110" t="s">
        <v>48</v>
      </c>
      <c r="AI62" s="10"/>
      <c r="AJ62" s="73">
        <f t="shared" si="1"/>
        <v>25</v>
      </c>
      <c r="AK62" s="73">
        <v>25</v>
      </c>
      <c r="AL62" s="181">
        <v>15000</v>
      </c>
    </row>
    <row r="63" spans="2:38" ht="16.05" customHeight="1" x14ac:dyDescent="0.3">
      <c r="B63" s="109">
        <v>62</v>
      </c>
      <c r="C63" s="168" t="s">
        <v>230</v>
      </c>
      <c r="D63" s="43" t="s">
        <v>231</v>
      </c>
      <c r="E63" s="43" t="s">
        <v>232</v>
      </c>
      <c r="F63" s="10" t="s">
        <v>48</v>
      </c>
      <c r="G63" s="10" t="s">
        <v>48</v>
      </c>
      <c r="H63" s="10" t="s">
        <v>48</v>
      </c>
      <c r="I63" s="10" t="s">
        <v>48</v>
      </c>
      <c r="J63" s="10" t="s">
        <v>48</v>
      </c>
      <c r="K63" s="10" t="s">
        <v>48</v>
      </c>
      <c r="L63" s="10" t="s">
        <v>48</v>
      </c>
      <c r="M63" s="10" t="s">
        <v>48</v>
      </c>
      <c r="N63" s="10" t="s">
        <v>48</v>
      </c>
      <c r="O63" s="10"/>
      <c r="P63" s="10"/>
      <c r="Q63" s="10"/>
      <c r="R63" s="10" t="s">
        <v>48</v>
      </c>
      <c r="S63" s="10" t="s">
        <v>48</v>
      </c>
      <c r="T63" s="10" t="s">
        <v>48</v>
      </c>
      <c r="U63" s="10" t="s">
        <v>48</v>
      </c>
      <c r="V63" s="10"/>
      <c r="W63" s="10"/>
      <c r="X63" s="10"/>
      <c r="Y63" s="10"/>
      <c r="Z63" s="10"/>
      <c r="AA63" s="10"/>
      <c r="AB63" s="10"/>
      <c r="AC63" s="10"/>
      <c r="AD63" s="10" t="s">
        <v>48</v>
      </c>
      <c r="AE63" s="10" t="s">
        <v>48</v>
      </c>
      <c r="AF63" s="10" t="s">
        <v>48</v>
      </c>
      <c r="AG63" s="10" t="s">
        <v>48</v>
      </c>
      <c r="AH63" s="10"/>
      <c r="AI63" s="10"/>
      <c r="AJ63" s="73">
        <f t="shared" si="1"/>
        <v>17</v>
      </c>
      <c r="AK63" s="73">
        <v>17</v>
      </c>
      <c r="AL63" s="181">
        <v>9350</v>
      </c>
    </row>
    <row r="64" spans="2:38" ht="16.05" customHeight="1" x14ac:dyDescent="0.3">
      <c r="B64" s="109">
        <v>63</v>
      </c>
      <c r="C64" s="173" t="s">
        <v>635</v>
      </c>
      <c r="D64" s="42" t="s">
        <v>299</v>
      </c>
      <c r="E64" s="42" t="s">
        <v>313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 t="s">
        <v>48</v>
      </c>
      <c r="V64" s="10"/>
      <c r="W64" s="10"/>
      <c r="X64" s="10"/>
      <c r="Y64" s="10"/>
      <c r="Z64" s="10" t="s">
        <v>48</v>
      </c>
      <c r="AA64" s="10" t="s">
        <v>48</v>
      </c>
      <c r="AB64" s="10" t="s">
        <v>48</v>
      </c>
      <c r="AC64" s="10"/>
      <c r="AD64" s="10"/>
      <c r="AE64" s="10"/>
      <c r="AF64" s="10"/>
      <c r="AG64" s="10"/>
      <c r="AH64" s="10"/>
      <c r="AI64" s="10"/>
      <c r="AJ64" s="73">
        <f t="shared" si="1"/>
        <v>4</v>
      </c>
      <c r="AK64" s="73">
        <v>4</v>
      </c>
      <c r="AL64" s="181">
        <v>2650</v>
      </c>
    </row>
    <row r="65" spans="2:38" ht="16.05" customHeight="1" x14ac:dyDescent="0.3">
      <c r="B65" s="109">
        <v>64</v>
      </c>
      <c r="C65" s="10" t="s">
        <v>404</v>
      </c>
      <c r="D65" s="43" t="s">
        <v>402</v>
      </c>
      <c r="E65" s="43" t="s">
        <v>403</v>
      </c>
      <c r="F65" s="10" t="s">
        <v>48</v>
      </c>
      <c r="G65" s="10" t="s">
        <v>48</v>
      </c>
      <c r="H65" s="10"/>
      <c r="I65" s="10" t="s">
        <v>48</v>
      </c>
      <c r="J65" s="10" t="s">
        <v>48</v>
      </c>
      <c r="K65" s="10" t="s">
        <v>48</v>
      </c>
      <c r="L65" s="10" t="s">
        <v>48</v>
      </c>
      <c r="M65" s="10"/>
      <c r="N65" s="10"/>
      <c r="O65" s="10"/>
      <c r="P65" s="10" t="s">
        <v>48</v>
      </c>
      <c r="Q65" s="10" t="s">
        <v>48</v>
      </c>
      <c r="R65" s="10" t="s">
        <v>48</v>
      </c>
      <c r="S65" s="10" t="s">
        <v>48</v>
      </c>
      <c r="T65" s="10"/>
      <c r="U65" s="10"/>
      <c r="V65" s="10"/>
      <c r="W65" s="10"/>
      <c r="X65" s="10"/>
      <c r="Y65" s="10"/>
      <c r="Z65" s="10"/>
      <c r="AA65" s="10" t="s">
        <v>48</v>
      </c>
      <c r="AB65" s="10" t="s">
        <v>48</v>
      </c>
      <c r="AC65" s="10"/>
      <c r="AD65" s="10" t="s">
        <v>48</v>
      </c>
      <c r="AE65" s="10" t="s">
        <v>48</v>
      </c>
      <c r="AF65" s="10" t="s">
        <v>48</v>
      </c>
      <c r="AG65" s="10" t="s">
        <v>48</v>
      </c>
      <c r="AH65" s="10" t="s">
        <v>48</v>
      </c>
      <c r="AI65" s="10" t="s">
        <v>48</v>
      </c>
      <c r="AJ65" s="73">
        <f t="shared" si="1"/>
        <v>18</v>
      </c>
      <c r="AK65" s="73"/>
      <c r="AL65" s="181"/>
    </row>
    <row r="66" spans="2:38" ht="16.05" customHeight="1" x14ac:dyDescent="0.3">
      <c r="B66" s="109">
        <v>65</v>
      </c>
      <c r="C66" s="110" t="s">
        <v>684</v>
      </c>
      <c r="D66" s="42" t="s">
        <v>422</v>
      </c>
      <c r="E66" s="42" t="s">
        <v>423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 t="s">
        <v>48</v>
      </c>
      <c r="AG66" s="10" t="s">
        <v>48</v>
      </c>
      <c r="AH66" s="10" t="s">
        <v>48</v>
      </c>
      <c r="AI66" s="10" t="s">
        <v>48</v>
      </c>
      <c r="AJ66" s="73">
        <f t="shared" si="1"/>
        <v>4</v>
      </c>
      <c r="AK66" s="73"/>
      <c r="AL66" s="181"/>
    </row>
    <row r="67" spans="2:38" ht="16.05" customHeight="1" x14ac:dyDescent="0.3">
      <c r="B67" s="109">
        <v>66</v>
      </c>
      <c r="C67" s="10" t="s">
        <v>59</v>
      </c>
      <c r="D67" s="43" t="s">
        <v>70</v>
      </c>
      <c r="E67" s="43" t="s">
        <v>71</v>
      </c>
      <c r="F67" s="10" t="s">
        <v>48</v>
      </c>
      <c r="G67" s="10" t="s">
        <v>48</v>
      </c>
      <c r="H67" s="10" t="s">
        <v>48</v>
      </c>
      <c r="I67" s="10" t="s">
        <v>48</v>
      </c>
      <c r="J67" s="10" t="s">
        <v>48</v>
      </c>
      <c r="K67" s="10"/>
      <c r="L67" s="10" t="s">
        <v>48</v>
      </c>
      <c r="M67" s="10" t="s">
        <v>48</v>
      </c>
      <c r="N67" s="10" t="s">
        <v>48</v>
      </c>
      <c r="O67" s="10" t="s">
        <v>48</v>
      </c>
      <c r="P67" s="10" t="s">
        <v>48</v>
      </c>
      <c r="Q67" s="10" t="s">
        <v>48</v>
      </c>
      <c r="R67" s="10"/>
      <c r="S67" s="10" t="s">
        <v>48</v>
      </c>
      <c r="T67" s="10" t="s">
        <v>48</v>
      </c>
      <c r="U67" s="10" t="s">
        <v>48</v>
      </c>
      <c r="V67" s="10" t="s">
        <v>48</v>
      </c>
      <c r="W67" s="10" t="s">
        <v>48</v>
      </c>
      <c r="X67" s="10" t="s">
        <v>48</v>
      </c>
      <c r="Y67" s="10"/>
      <c r="Z67" s="10" t="s">
        <v>48</v>
      </c>
      <c r="AA67" s="10" t="s">
        <v>48</v>
      </c>
      <c r="AB67" s="10" t="s">
        <v>48</v>
      </c>
      <c r="AC67" s="10" t="s">
        <v>48</v>
      </c>
      <c r="AD67" s="10" t="s">
        <v>48</v>
      </c>
      <c r="AE67" s="10" t="s">
        <v>48</v>
      </c>
      <c r="AF67" s="10"/>
      <c r="AG67" s="10" t="s">
        <v>48</v>
      </c>
      <c r="AH67" s="10" t="s">
        <v>48</v>
      </c>
      <c r="AI67" s="10" t="s">
        <v>48</v>
      </c>
      <c r="AJ67" s="73">
        <f t="shared" si="1"/>
        <v>26</v>
      </c>
      <c r="AK67" s="73"/>
      <c r="AL67" s="181"/>
    </row>
    <row r="68" spans="2:38" ht="16.05" customHeight="1" x14ac:dyDescent="0.3">
      <c r="B68" s="109">
        <v>67</v>
      </c>
      <c r="C68" s="110" t="s">
        <v>330</v>
      </c>
      <c r="D68" s="42" t="s">
        <v>328</v>
      </c>
      <c r="E68" s="42" t="s">
        <v>329</v>
      </c>
      <c r="F68" s="10"/>
      <c r="G68" s="10"/>
      <c r="H68" s="10"/>
      <c r="I68" s="10"/>
      <c r="J68" s="10" t="s">
        <v>48</v>
      </c>
      <c r="K68" s="10" t="s">
        <v>48</v>
      </c>
      <c r="L68" s="10" t="s">
        <v>48</v>
      </c>
      <c r="M68" s="10" t="s">
        <v>48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73">
        <f t="shared" si="1"/>
        <v>4</v>
      </c>
      <c r="AK68" s="73"/>
      <c r="AL68" s="181"/>
    </row>
    <row r="69" spans="2:38" ht="16.05" customHeight="1" x14ac:dyDescent="0.3">
      <c r="B69" s="109">
        <v>68</v>
      </c>
      <c r="C69" s="10" t="s">
        <v>685</v>
      </c>
      <c r="D69" s="43" t="s">
        <v>413</v>
      </c>
      <c r="E69" s="43" t="s">
        <v>414</v>
      </c>
      <c r="F69" s="10"/>
      <c r="G69" s="10"/>
      <c r="H69" s="10" t="s">
        <v>48</v>
      </c>
      <c r="I69" s="10" t="s">
        <v>48</v>
      </c>
      <c r="J69" s="10" t="s">
        <v>48</v>
      </c>
      <c r="K69" s="10" t="s">
        <v>48</v>
      </c>
      <c r="L69" s="10" t="s">
        <v>48</v>
      </c>
      <c r="M69" s="10" t="s">
        <v>48</v>
      </c>
      <c r="N69" s="10" t="s">
        <v>48</v>
      </c>
      <c r="O69" s="10" t="s">
        <v>48</v>
      </c>
      <c r="P69" s="10"/>
      <c r="Q69" s="10" t="s">
        <v>48</v>
      </c>
      <c r="R69" s="10" t="s">
        <v>48</v>
      </c>
      <c r="S69" s="10" t="s">
        <v>48</v>
      </c>
      <c r="T69" s="10" t="s">
        <v>48</v>
      </c>
      <c r="U69" s="10"/>
      <c r="V69" s="10" t="s">
        <v>48</v>
      </c>
      <c r="W69" s="10" t="s">
        <v>48</v>
      </c>
      <c r="X69" s="10" t="s">
        <v>48</v>
      </c>
      <c r="Y69" s="10" t="s">
        <v>48</v>
      </c>
      <c r="Z69" s="10" t="s">
        <v>48</v>
      </c>
      <c r="AA69" s="10" t="s">
        <v>48</v>
      </c>
      <c r="AB69" s="10" t="s">
        <v>48</v>
      </c>
      <c r="AC69" s="10" t="s">
        <v>48</v>
      </c>
      <c r="AD69" s="10"/>
      <c r="AE69" s="10" t="s">
        <v>48</v>
      </c>
      <c r="AF69" s="10" t="s">
        <v>48</v>
      </c>
      <c r="AG69" s="10" t="s">
        <v>48</v>
      </c>
      <c r="AH69" s="10" t="s">
        <v>48</v>
      </c>
      <c r="AI69" s="10"/>
      <c r="AJ69" s="73">
        <f t="shared" si="1"/>
        <v>24</v>
      </c>
      <c r="AK69" s="73"/>
      <c r="AL69" s="181"/>
    </row>
    <row r="70" spans="2:38" ht="16.05" customHeight="1" x14ac:dyDescent="0.3">
      <c r="B70" s="109">
        <v>69</v>
      </c>
      <c r="C70" s="110" t="s">
        <v>367</v>
      </c>
      <c r="D70" s="42" t="s">
        <v>260</v>
      </c>
      <c r="E70" s="42" t="s">
        <v>261</v>
      </c>
      <c r="F70" s="110" t="s">
        <v>48</v>
      </c>
      <c r="G70" s="110" t="s">
        <v>48</v>
      </c>
      <c r="H70" s="110" t="s">
        <v>48</v>
      </c>
      <c r="I70" s="110" t="s">
        <v>48</v>
      </c>
      <c r="J70" s="110" t="s">
        <v>48</v>
      </c>
      <c r="K70" s="110" t="s">
        <v>48</v>
      </c>
      <c r="L70" s="110" t="s">
        <v>48</v>
      </c>
      <c r="M70" s="110" t="s">
        <v>48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73">
        <f t="shared" si="1"/>
        <v>8</v>
      </c>
      <c r="AK70" s="73"/>
      <c r="AL70" s="181"/>
    </row>
    <row r="71" spans="2:38" ht="16.05" customHeight="1" x14ac:dyDescent="0.3">
      <c r="B71" s="109">
        <v>70</v>
      </c>
      <c r="C71" s="10" t="s">
        <v>250</v>
      </c>
      <c r="D71" s="43" t="s">
        <v>251</v>
      </c>
      <c r="E71" s="43" t="s">
        <v>252</v>
      </c>
      <c r="F71" s="10" t="s">
        <v>48</v>
      </c>
      <c r="G71" s="10" t="s">
        <v>48</v>
      </c>
      <c r="H71" s="10" t="s">
        <v>48</v>
      </c>
      <c r="I71" s="10" t="s">
        <v>48</v>
      </c>
      <c r="J71" s="10" t="s">
        <v>48</v>
      </c>
      <c r="K71" s="10" t="s">
        <v>48</v>
      </c>
      <c r="L71" s="10" t="s">
        <v>48</v>
      </c>
      <c r="M71" s="10" t="s">
        <v>48</v>
      </c>
      <c r="N71" s="10"/>
      <c r="O71" s="10" t="s">
        <v>48</v>
      </c>
      <c r="P71" s="10" t="s">
        <v>48</v>
      </c>
      <c r="Q71" s="10" t="s">
        <v>48</v>
      </c>
      <c r="R71" s="10" t="s">
        <v>48</v>
      </c>
      <c r="S71" s="10" t="s">
        <v>48</v>
      </c>
      <c r="T71" s="10" t="s">
        <v>48</v>
      </c>
      <c r="U71" s="10" t="s">
        <v>48</v>
      </c>
      <c r="V71" s="10" t="s">
        <v>48</v>
      </c>
      <c r="W71" s="10"/>
      <c r="X71" s="10" t="s">
        <v>48</v>
      </c>
      <c r="Y71" s="10" t="s">
        <v>48</v>
      </c>
      <c r="Z71" s="10" t="s">
        <v>48</v>
      </c>
      <c r="AA71" s="10" t="s">
        <v>48</v>
      </c>
      <c r="AB71" s="10"/>
      <c r="AC71" s="10" t="s">
        <v>48</v>
      </c>
      <c r="AD71" s="10" t="s">
        <v>48</v>
      </c>
      <c r="AE71" s="10" t="s">
        <v>48</v>
      </c>
      <c r="AF71" s="10" t="s">
        <v>48</v>
      </c>
      <c r="AG71" s="10" t="s">
        <v>48</v>
      </c>
      <c r="AH71" s="10" t="s">
        <v>48</v>
      </c>
      <c r="AI71" s="10" t="s">
        <v>48</v>
      </c>
      <c r="AJ71" s="73">
        <f t="shared" si="1"/>
        <v>27</v>
      </c>
      <c r="AK71" s="73"/>
      <c r="AL71" s="181"/>
    </row>
    <row r="72" spans="2:38" ht="16.05" customHeight="1" x14ac:dyDescent="0.3">
      <c r="B72" s="109">
        <v>71</v>
      </c>
      <c r="C72" s="110" t="s">
        <v>686</v>
      </c>
      <c r="D72" s="42" t="s">
        <v>51</v>
      </c>
      <c r="E72" s="42" t="s">
        <v>52</v>
      </c>
      <c r="F72" s="110" t="s">
        <v>48</v>
      </c>
      <c r="G72" s="110" t="s">
        <v>48</v>
      </c>
      <c r="H72" s="110" t="s">
        <v>48</v>
      </c>
      <c r="I72" s="110" t="s">
        <v>48</v>
      </c>
      <c r="J72" s="110" t="s">
        <v>48</v>
      </c>
      <c r="K72" s="110" t="s">
        <v>48</v>
      </c>
      <c r="L72" s="110" t="s">
        <v>48</v>
      </c>
      <c r="M72" s="10"/>
      <c r="N72" s="10"/>
      <c r="O72" s="10"/>
      <c r="P72" s="10"/>
      <c r="Q72" s="10" t="s">
        <v>48</v>
      </c>
      <c r="R72" s="10" t="s">
        <v>48</v>
      </c>
      <c r="S72" s="10" t="s">
        <v>48</v>
      </c>
      <c r="T72" s="10" t="s">
        <v>48</v>
      </c>
      <c r="U72" s="10" t="s">
        <v>48</v>
      </c>
      <c r="V72" s="10" t="s">
        <v>48</v>
      </c>
      <c r="W72" s="10"/>
      <c r="X72" s="10" t="s">
        <v>48</v>
      </c>
      <c r="Y72" s="10" t="s">
        <v>48</v>
      </c>
      <c r="Z72" s="10" t="s">
        <v>48</v>
      </c>
      <c r="AA72" s="10" t="s">
        <v>48</v>
      </c>
      <c r="AB72" s="10" t="s">
        <v>48</v>
      </c>
      <c r="AC72" s="10"/>
      <c r="AD72" s="10"/>
      <c r="AE72" s="10"/>
      <c r="AF72" s="10"/>
      <c r="AG72" s="10"/>
      <c r="AH72" s="10"/>
      <c r="AI72" s="10"/>
      <c r="AJ72" s="73">
        <f t="shared" si="1"/>
        <v>18</v>
      </c>
      <c r="AK72" s="73"/>
      <c r="AL72" s="181"/>
    </row>
    <row r="73" spans="2:38" ht="16.05" customHeight="1" x14ac:dyDescent="0.3">
      <c r="B73" s="109">
        <v>72</v>
      </c>
      <c r="C73" s="10" t="s">
        <v>433</v>
      </c>
      <c r="D73" s="43" t="s">
        <v>431</v>
      </c>
      <c r="E73" s="43" t="s">
        <v>432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 t="s">
        <v>48</v>
      </c>
      <c r="AG73" s="10" t="s">
        <v>48</v>
      </c>
      <c r="AH73" s="10" t="s">
        <v>48</v>
      </c>
      <c r="AI73" s="10" t="s">
        <v>48</v>
      </c>
      <c r="AJ73" s="73">
        <f t="shared" si="1"/>
        <v>4</v>
      </c>
      <c r="AK73" s="73"/>
      <c r="AL73" s="181"/>
    </row>
    <row r="74" spans="2:38" ht="16.05" customHeight="1" x14ac:dyDescent="0.3">
      <c r="B74" s="109">
        <v>73</v>
      </c>
      <c r="C74" s="110" t="s">
        <v>61</v>
      </c>
      <c r="D74" s="42" t="s">
        <v>79</v>
      </c>
      <c r="E74" s="42" t="s">
        <v>80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 t="s">
        <v>48</v>
      </c>
      <c r="AG74" s="10" t="s">
        <v>48</v>
      </c>
      <c r="AH74" s="10" t="s">
        <v>48</v>
      </c>
      <c r="AI74" s="10" t="s">
        <v>48</v>
      </c>
      <c r="AJ74" s="73">
        <f t="shared" si="1"/>
        <v>4</v>
      </c>
      <c r="AK74" s="73"/>
      <c r="AL74" s="181"/>
    </row>
    <row r="75" spans="2:38" ht="16.05" customHeight="1" x14ac:dyDescent="0.3">
      <c r="B75" s="109">
        <v>74</v>
      </c>
      <c r="C75" s="110" t="s">
        <v>430</v>
      </c>
      <c r="D75" s="42" t="s">
        <v>428</v>
      </c>
      <c r="E75" s="42" t="s">
        <v>429</v>
      </c>
      <c r="F75" s="10"/>
      <c r="G75" s="10"/>
      <c r="H75" s="10"/>
      <c r="I75" s="10"/>
      <c r="J75" s="10"/>
      <c r="K75" s="10"/>
      <c r="L75" s="10"/>
      <c r="M75" s="10"/>
      <c r="N75" s="10" t="s">
        <v>48</v>
      </c>
      <c r="O75" s="10" t="s">
        <v>48</v>
      </c>
      <c r="P75" s="10" t="s">
        <v>48</v>
      </c>
      <c r="Q75" s="10" t="s">
        <v>48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73">
        <f t="shared" si="1"/>
        <v>4</v>
      </c>
      <c r="AK75" s="73"/>
      <c r="AL75" s="181"/>
    </row>
    <row r="76" spans="2:38" ht="16.05" customHeight="1" x14ac:dyDescent="0.3">
      <c r="B76" s="109">
        <v>75</v>
      </c>
      <c r="C76" s="10" t="s">
        <v>256</v>
      </c>
      <c r="D76" s="43" t="s">
        <v>257</v>
      </c>
      <c r="E76" s="43" t="s">
        <v>258</v>
      </c>
      <c r="F76" s="10"/>
      <c r="G76" s="10"/>
      <c r="H76" s="10" t="s">
        <v>48</v>
      </c>
      <c r="I76" s="10" t="s">
        <v>48</v>
      </c>
      <c r="J76" s="10" t="s">
        <v>48</v>
      </c>
      <c r="K76" s="10" t="s">
        <v>48</v>
      </c>
      <c r="L76" s="10" t="s">
        <v>48</v>
      </c>
      <c r="M76" s="10" t="s">
        <v>48</v>
      </c>
      <c r="N76" s="10" t="s">
        <v>48</v>
      </c>
      <c r="O76" s="10" t="s">
        <v>48</v>
      </c>
      <c r="P76" s="10"/>
      <c r="Q76" s="10" t="s">
        <v>48</v>
      </c>
      <c r="R76" s="10" t="s">
        <v>48</v>
      </c>
      <c r="S76" s="10" t="s">
        <v>48</v>
      </c>
      <c r="T76" s="10" t="s">
        <v>48</v>
      </c>
      <c r="U76" s="10"/>
      <c r="V76" s="10" t="s">
        <v>48</v>
      </c>
      <c r="W76" s="10" t="s">
        <v>48</v>
      </c>
      <c r="X76" s="10" t="s">
        <v>48</v>
      </c>
      <c r="Y76" s="10" t="s">
        <v>48</v>
      </c>
      <c r="Z76" s="10" t="s">
        <v>48</v>
      </c>
      <c r="AA76" s="10" t="s">
        <v>48</v>
      </c>
      <c r="AB76" s="10" t="s">
        <v>48</v>
      </c>
      <c r="AC76" s="10" t="s">
        <v>48</v>
      </c>
      <c r="AD76" s="10"/>
      <c r="AE76" s="10" t="s">
        <v>48</v>
      </c>
      <c r="AF76" s="10" t="s">
        <v>48</v>
      </c>
      <c r="AG76" s="10" t="s">
        <v>48</v>
      </c>
      <c r="AH76" s="10" t="s">
        <v>48</v>
      </c>
      <c r="AI76" s="10"/>
      <c r="AJ76" s="73">
        <f t="shared" si="1"/>
        <v>24</v>
      </c>
      <c r="AK76" s="73"/>
      <c r="AL76" s="181"/>
    </row>
    <row r="77" spans="2:38" ht="16.05" customHeight="1" x14ac:dyDescent="0.3">
      <c r="B77" s="109">
        <v>76</v>
      </c>
      <c r="C77" s="110" t="s">
        <v>142</v>
      </c>
      <c r="D77" s="42" t="s">
        <v>150</v>
      </c>
      <c r="E77" s="42" t="s">
        <v>135</v>
      </c>
      <c r="F77" s="10"/>
      <c r="G77" s="110" t="s">
        <v>48</v>
      </c>
      <c r="H77" s="110" t="s">
        <v>48</v>
      </c>
      <c r="I77" s="110" t="s">
        <v>48</v>
      </c>
      <c r="J77" s="110" t="s">
        <v>48</v>
      </c>
      <c r="K77" s="110" t="s">
        <v>48</v>
      </c>
      <c r="L77" s="110" t="s">
        <v>48</v>
      </c>
      <c r="M77" s="110" t="s">
        <v>48</v>
      </c>
      <c r="N77" s="110" t="s">
        <v>48</v>
      </c>
      <c r="O77" s="10"/>
      <c r="P77" s="110" t="s">
        <v>48</v>
      </c>
      <c r="Q77" s="110" t="s">
        <v>48</v>
      </c>
      <c r="R77" s="110" t="s">
        <v>48</v>
      </c>
      <c r="S77" s="110" t="s">
        <v>48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73">
        <f t="shared" si="1"/>
        <v>12</v>
      </c>
      <c r="AK77" s="73"/>
      <c r="AL77" s="181"/>
    </row>
    <row r="78" spans="2:38" ht="16.05" customHeight="1" x14ac:dyDescent="0.3">
      <c r="B78" s="109">
        <v>77</v>
      </c>
      <c r="C78" s="10" t="s">
        <v>207</v>
      </c>
      <c r="D78" s="43" t="s">
        <v>72</v>
      </c>
      <c r="E78" s="43" t="s">
        <v>189</v>
      </c>
      <c r="F78" s="10" t="s">
        <v>48</v>
      </c>
      <c r="G78" s="10" t="s">
        <v>48</v>
      </c>
      <c r="H78" s="10" t="s">
        <v>48</v>
      </c>
      <c r="I78" s="10" t="s">
        <v>48</v>
      </c>
      <c r="J78" s="10"/>
      <c r="K78" s="10" t="s">
        <v>48</v>
      </c>
      <c r="L78" s="10" t="s">
        <v>48</v>
      </c>
      <c r="M78" s="10" t="s">
        <v>48</v>
      </c>
      <c r="N78" s="10" t="s">
        <v>48</v>
      </c>
      <c r="O78" s="10" t="s">
        <v>48</v>
      </c>
      <c r="P78" s="10" t="s">
        <v>48</v>
      </c>
      <c r="Q78" s="10"/>
      <c r="R78" s="10" t="s">
        <v>48</v>
      </c>
      <c r="S78" s="10" t="s">
        <v>48</v>
      </c>
      <c r="T78" s="10"/>
      <c r="U78" s="10"/>
      <c r="V78" s="10"/>
      <c r="W78" s="10"/>
      <c r="X78" s="10"/>
      <c r="Y78" s="10" t="s">
        <v>48</v>
      </c>
      <c r="Z78" s="10" t="s">
        <v>48</v>
      </c>
      <c r="AA78" s="10" t="s">
        <v>48</v>
      </c>
      <c r="AB78" s="10" t="s">
        <v>48</v>
      </c>
      <c r="AC78" s="10" t="s">
        <v>48</v>
      </c>
      <c r="AD78" s="10" t="s">
        <v>48</v>
      </c>
      <c r="AE78" s="10"/>
      <c r="AF78" s="10"/>
      <c r="AG78" s="10"/>
      <c r="AH78" s="10"/>
      <c r="AI78" s="10"/>
      <c r="AJ78" s="73">
        <f t="shared" si="1"/>
        <v>18</v>
      </c>
      <c r="AK78" s="73"/>
      <c r="AL78" s="181"/>
    </row>
    <row r="79" spans="2:38" ht="16.05" customHeight="1" x14ac:dyDescent="0.3">
      <c r="B79" s="109">
        <v>78</v>
      </c>
      <c r="C79" s="110" t="s">
        <v>192</v>
      </c>
      <c r="D79" s="42" t="s">
        <v>193</v>
      </c>
      <c r="E79" s="42" t="s">
        <v>194</v>
      </c>
      <c r="F79" s="110" t="s">
        <v>48</v>
      </c>
      <c r="G79" s="110" t="s">
        <v>48</v>
      </c>
      <c r="H79" s="110" t="s">
        <v>48</v>
      </c>
      <c r="I79" s="110" t="s">
        <v>412</v>
      </c>
      <c r="J79" s="110" t="s">
        <v>48</v>
      </c>
      <c r="K79" s="10"/>
      <c r="L79" s="110" t="s">
        <v>48</v>
      </c>
      <c r="M79" s="110" t="s">
        <v>48</v>
      </c>
      <c r="N79" s="110" t="s">
        <v>48</v>
      </c>
      <c r="O79" s="110" t="s">
        <v>48</v>
      </c>
      <c r="P79" s="10"/>
      <c r="Q79" s="10"/>
      <c r="R79" s="10"/>
      <c r="S79" s="10"/>
      <c r="T79" s="10"/>
      <c r="U79" s="10"/>
      <c r="V79" s="10"/>
      <c r="W79" s="10"/>
      <c r="X79" s="10"/>
      <c r="Y79" s="10" t="s">
        <v>48</v>
      </c>
      <c r="Z79" s="10" t="s">
        <v>48</v>
      </c>
      <c r="AA79" s="10" t="s">
        <v>48</v>
      </c>
      <c r="AB79" s="10" t="s">
        <v>48</v>
      </c>
      <c r="AC79" s="10" t="s">
        <v>48</v>
      </c>
      <c r="AD79" s="10" t="s">
        <v>48</v>
      </c>
      <c r="AE79" s="10" t="s">
        <v>48</v>
      </c>
      <c r="AF79" s="10" t="s">
        <v>48</v>
      </c>
      <c r="AG79" s="10" t="s">
        <v>48</v>
      </c>
      <c r="AH79" s="10" t="s">
        <v>48</v>
      </c>
      <c r="AI79" s="10" t="s">
        <v>48</v>
      </c>
      <c r="AJ79" s="73">
        <f t="shared" si="1"/>
        <v>21</v>
      </c>
      <c r="AK79" s="73"/>
      <c r="AL79" s="181"/>
    </row>
    <row r="80" spans="2:38" ht="16.05" customHeight="1" x14ac:dyDescent="0.3">
      <c r="B80" s="109">
        <v>79</v>
      </c>
      <c r="C80" s="10" t="s">
        <v>334</v>
      </c>
      <c r="D80" s="43" t="s">
        <v>188</v>
      </c>
      <c r="E80" s="43" t="s">
        <v>189</v>
      </c>
      <c r="F80" s="10" t="s">
        <v>48</v>
      </c>
      <c r="G80" s="10" t="s">
        <v>48</v>
      </c>
      <c r="H80" s="10" t="s">
        <v>48</v>
      </c>
      <c r="I80" s="10" t="s">
        <v>48</v>
      </c>
      <c r="J80" s="10" t="s">
        <v>48</v>
      </c>
      <c r="K80" s="10" t="s">
        <v>48</v>
      </c>
      <c r="L80" s="10" t="s">
        <v>48</v>
      </c>
      <c r="M80" s="10" t="s">
        <v>48</v>
      </c>
      <c r="N80" s="10" t="s">
        <v>48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73">
        <f t="shared" si="1"/>
        <v>9</v>
      </c>
      <c r="AK80" s="73"/>
      <c r="AL80" s="181"/>
    </row>
    <row r="81" spans="2:38" ht="16.05" customHeight="1" x14ac:dyDescent="0.3">
      <c r="B81" s="109">
        <v>80</v>
      </c>
      <c r="C81" s="110" t="s">
        <v>621</v>
      </c>
      <c r="D81" s="42" t="s">
        <v>299</v>
      </c>
      <c r="E81" s="42" t="s">
        <v>620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 t="s">
        <v>48</v>
      </c>
      <c r="V81" s="10" t="s">
        <v>48</v>
      </c>
      <c r="W81" s="10" t="s">
        <v>48</v>
      </c>
      <c r="X81" s="10" t="s">
        <v>48</v>
      </c>
      <c r="Y81" s="10" t="s">
        <v>48</v>
      </c>
      <c r="Z81" s="10" t="s">
        <v>48</v>
      </c>
      <c r="AA81" s="10" t="s">
        <v>48</v>
      </c>
      <c r="AB81" s="10" t="s">
        <v>48</v>
      </c>
      <c r="AC81" s="10" t="s">
        <v>48</v>
      </c>
      <c r="AD81" s="10" t="s">
        <v>48</v>
      </c>
      <c r="AE81" s="10" t="s">
        <v>48</v>
      </c>
      <c r="AF81" s="10" t="s">
        <v>48</v>
      </c>
      <c r="AG81" s="10" t="s">
        <v>48</v>
      </c>
      <c r="AH81" s="10" t="s">
        <v>48</v>
      </c>
      <c r="AI81" s="10" t="s">
        <v>48</v>
      </c>
      <c r="AJ81" s="73">
        <f t="shared" si="1"/>
        <v>15</v>
      </c>
      <c r="AK81" s="73"/>
      <c r="AL81" s="181"/>
    </row>
    <row r="82" spans="2:38" ht="16.05" customHeight="1" x14ac:dyDescent="0.3">
      <c r="B82" s="109">
        <v>81</v>
      </c>
      <c r="C82" s="10" t="s">
        <v>253</v>
      </c>
      <c r="D82" s="43" t="s">
        <v>254</v>
      </c>
      <c r="E82" s="43" t="s">
        <v>255</v>
      </c>
      <c r="F82" s="10" t="s">
        <v>48</v>
      </c>
      <c r="G82" s="10"/>
      <c r="H82" s="10" t="s">
        <v>48</v>
      </c>
      <c r="I82" s="10" t="s">
        <v>48</v>
      </c>
      <c r="J82" s="10" t="s">
        <v>48</v>
      </c>
      <c r="K82" s="10" t="s">
        <v>48</v>
      </c>
      <c r="L82" s="10" t="s">
        <v>48</v>
      </c>
      <c r="M82" s="10" t="s">
        <v>48</v>
      </c>
      <c r="N82" s="10" t="s">
        <v>48</v>
      </c>
      <c r="O82" s="10" t="s">
        <v>48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 t="s">
        <v>48</v>
      </c>
      <c r="AA82" s="10" t="s">
        <v>48</v>
      </c>
      <c r="AB82" s="10" t="s">
        <v>48</v>
      </c>
      <c r="AC82" s="10" t="s">
        <v>48</v>
      </c>
      <c r="AD82" s="10"/>
      <c r="AE82" s="10" t="s">
        <v>48</v>
      </c>
      <c r="AF82" s="10" t="s">
        <v>48</v>
      </c>
      <c r="AG82" s="10" t="s">
        <v>48</v>
      </c>
      <c r="AH82" s="10" t="s">
        <v>48</v>
      </c>
      <c r="AI82" s="10"/>
      <c r="AJ82" s="73">
        <f t="shared" si="1"/>
        <v>17</v>
      </c>
      <c r="AK82" s="73"/>
      <c r="AL82" s="181"/>
    </row>
    <row r="83" spans="2:38" ht="16.05" customHeight="1" x14ac:dyDescent="0.3">
      <c r="B83" s="109">
        <v>82</v>
      </c>
      <c r="C83" s="110" t="s">
        <v>325</v>
      </c>
      <c r="D83" s="42" t="s">
        <v>323</v>
      </c>
      <c r="E83" s="42" t="s">
        <v>324</v>
      </c>
      <c r="F83" s="110" t="s">
        <v>48</v>
      </c>
      <c r="G83" s="110" t="s">
        <v>48</v>
      </c>
      <c r="H83" s="110" t="s">
        <v>48</v>
      </c>
      <c r="I83" s="110" t="s">
        <v>48</v>
      </c>
      <c r="J83" s="110" t="s">
        <v>48</v>
      </c>
      <c r="K83" s="10"/>
      <c r="L83" s="10" t="s">
        <v>48</v>
      </c>
      <c r="M83" s="10" t="s">
        <v>48</v>
      </c>
      <c r="N83" s="10" t="s">
        <v>48</v>
      </c>
      <c r="O83" s="10" t="s">
        <v>48</v>
      </c>
      <c r="P83" s="10" t="s">
        <v>48</v>
      </c>
      <c r="Q83" s="10" t="s">
        <v>48</v>
      </c>
      <c r="R83" s="10"/>
      <c r="S83" s="10" t="s">
        <v>48</v>
      </c>
      <c r="T83" s="10" t="s">
        <v>48</v>
      </c>
      <c r="U83" s="10" t="s">
        <v>48</v>
      </c>
      <c r="V83" s="10" t="s">
        <v>48</v>
      </c>
      <c r="W83" s="10" t="s">
        <v>48</v>
      </c>
      <c r="X83" s="10" t="s">
        <v>48</v>
      </c>
      <c r="Y83" s="10"/>
      <c r="Z83" s="10" t="s">
        <v>48</v>
      </c>
      <c r="AA83" s="10" t="s">
        <v>48</v>
      </c>
      <c r="AB83" s="10" t="s">
        <v>48</v>
      </c>
      <c r="AC83" s="10" t="s">
        <v>48</v>
      </c>
      <c r="AD83" s="10" t="s">
        <v>48</v>
      </c>
      <c r="AE83" s="10" t="s">
        <v>48</v>
      </c>
      <c r="AF83" s="10"/>
      <c r="AG83" s="10"/>
      <c r="AH83" s="10"/>
      <c r="AI83" s="10"/>
      <c r="AJ83" s="73">
        <f t="shared" si="1"/>
        <v>23</v>
      </c>
      <c r="AK83" s="73"/>
      <c r="AL83" s="181"/>
    </row>
    <row r="84" spans="2:38" ht="16.05" customHeight="1" x14ac:dyDescent="0.3">
      <c r="B84" s="109">
        <v>83</v>
      </c>
      <c r="C84" s="110" t="s">
        <v>420</v>
      </c>
      <c r="D84" s="42" t="s">
        <v>283</v>
      </c>
      <c r="E84" s="42" t="s">
        <v>93</v>
      </c>
      <c r="F84" s="10"/>
      <c r="G84" s="110" t="s">
        <v>48</v>
      </c>
      <c r="H84" s="110" t="s">
        <v>48</v>
      </c>
      <c r="I84" s="10"/>
      <c r="J84" s="10"/>
      <c r="K84" s="10"/>
      <c r="L84" s="10"/>
      <c r="M84" s="10" t="s">
        <v>48</v>
      </c>
      <c r="N84" s="10" t="s">
        <v>48</v>
      </c>
      <c r="O84" s="10" t="s">
        <v>48</v>
      </c>
      <c r="P84" s="10" t="s">
        <v>48</v>
      </c>
      <c r="Q84" s="10" t="s">
        <v>48</v>
      </c>
      <c r="R84" s="10"/>
      <c r="S84" s="10"/>
      <c r="T84" s="10"/>
      <c r="U84" s="10"/>
      <c r="V84" s="10"/>
      <c r="W84" s="10" t="s">
        <v>48</v>
      </c>
      <c r="X84" s="10" t="s">
        <v>48</v>
      </c>
      <c r="Y84" s="10" t="s">
        <v>48</v>
      </c>
      <c r="Z84" s="10" t="s">
        <v>48</v>
      </c>
      <c r="AA84" s="10" t="s">
        <v>48</v>
      </c>
      <c r="AB84" s="10"/>
      <c r="AC84" s="10"/>
      <c r="AD84" s="10"/>
      <c r="AE84" s="10"/>
      <c r="AF84" s="10"/>
      <c r="AG84" s="10"/>
      <c r="AH84" s="10"/>
      <c r="AI84" s="10"/>
      <c r="AJ84" s="73">
        <f t="shared" si="1"/>
        <v>12</v>
      </c>
      <c r="AK84" s="73"/>
      <c r="AL84" s="181"/>
    </row>
    <row r="85" spans="2:38" ht="16.05" customHeight="1" x14ac:dyDescent="0.3">
      <c r="B85" s="109">
        <v>84</v>
      </c>
      <c r="C85" s="10" t="s">
        <v>271</v>
      </c>
      <c r="D85" s="43" t="s">
        <v>272</v>
      </c>
      <c r="E85" s="43" t="s">
        <v>273</v>
      </c>
      <c r="F85" s="10"/>
      <c r="G85" s="10"/>
      <c r="H85" s="10" t="s">
        <v>48</v>
      </c>
      <c r="I85" s="10" t="s">
        <v>48</v>
      </c>
      <c r="J85" s="10" t="s">
        <v>48</v>
      </c>
      <c r="K85" s="10" t="s">
        <v>48</v>
      </c>
      <c r="L85" s="10" t="s">
        <v>48</v>
      </c>
      <c r="M85" s="10" t="s">
        <v>48</v>
      </c>
      <c r="N85" s="10" t="s">
        <v>48</v>
      </c>
      <c r="O85" s="10" t="s">
        <v>48</v>
      </c>
      <c r="P85" s="10"/>
      <c r="Q85" s="10" t="s">
        <v>48</v>
      </c>
      <c r="R85" s="10" t="s">
        <v>48</v>
      </c>
      <c r="S85" s="10" t="s">
        <v>48</v>
      </c>
      <c r="T85" s="10" t="s">
        <v>48</v>
      </c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73">
        <f t="shared" si="1"/>
        <v>12</v>
      </c>
      <c r="AK85" s="73"/>
      <c r="AL85" s="181"/>
    </row>
    <row r="86" spans="2:38" ht="16.05" customHeight="1" x14ac:dyDescent="0.3">
      <c r="B86" s="109">
        <v>85</v>
      </c>
      <c r="C86" s="10" t="s">
        <v>84</v>
      </c>
      <c r="D86" s="43" t="s">
        <v>93</v>
      </c>
      <c r="E86" s="43" t="s">
        <v>94</v>
      </c>
      <c r="F86" s="10" t="s">
        <v>48</v>
      </c>
      <c r="G86" s="10"/>
      <c r="H86" s="10" t="s">
        <v>48</v>
      </c>
      <c r="I86" s="10" t="s">
        <v>48</v>
      </c>
      <c r="J86" s="10" t="s">
        <v>48</v>
      </c>
      <c r="K86" s="10" t="s">
        <v>48</v>
      </c>
      <c r="L86" s="10" t="s">
        <v>48</v>
      </c>
      <c r="M86" s="10" t="s">
        <v>48</v>
      </c>
      <c r="N86" s="10" t="s">
        <v>48</v>
      </c>
      <c r="O86" s="10" t="s">
        <v>48</v>
      </c>
      <c r="P86" s="10" t="s">
        <v>48</v>
      </c>
      <c r="Q86" s="10" t="s">
        <v>48</v>
      </c>
      <c r="R86" s="10" t="s">
        <v>48</v>
      </c>
      <c r="S86" s="10" t="s">
        <v>48</v>
      </c>
      <c r="T86" s="10" t="s">
        <v>48</v>
      </c>
      <c r="U86" s="10"/>
      <c r="V86" s="10" t="s">
        <v>48</v>
      </c>
      <c r="W86" s="10" t="s">
        <v>48</v>
      </c>
      <c r="X86" s="10" t="s">
        <v>48</v>
      </c>
      <c r="Y86" s="10" t="s">
        <v>48</v>
      </c>
      <c r="Z86" s="10" t="s">
        <v>48</v>
      </c>
      <c r="AA86" s="10" t="s">
        <v>48</v>
      </c>
      <c r="AB86" s="10" t="s">
        <v>48</v>
      </c>
      <c r="AC86" s="10" t="s">
        <v>48</v>
      </c>
      <c r="AD86" s="10" t="s">
        <v>48</v>
      </c>
      <c r="AE86" s="10" t="s">
        <v>48</v>
      </c>
      <c r="AF86" s="10" t="s">
        <v>48</v>
      </c>
      <c r="AG86" s="10" t="s">
        <v>48</v>
      </c>
      <c r="AH86" s="10" t="s">
        <v>48</v>
      </c>
      <c r="AI86" s="10" t="s">
        <v>48</v>
      </c>
      <c r="AJ86" s="73">
        <f t="shared" si="1"/>
        <v>28</v>
      </c>
      <c r="AK86" s="73"/>
      <c r="AL86" s="181"/>
    </row>
    <row r="87" spans="2:38" ht="16.05" customHeight="1" x14ac:dyDescent="0.3">
      <c r="B87" s="109">
        <v>86</v>
      </c>
      <c r="C87" s="10" t="s">
        <v>333</v>
      </c>
      <c r="D87" s="43" t="s">
        <v>331</v>
      </c>
      <c r="E87" s="43" t="s">
        <v>332</v>
      </c>
      <c r="F87" s="10"/>
      <c r="G87" s="10"/>
      <c r="H87" s="10"/>
      <c r="I87" s="10"/>
      <c r="J87" s="10"/>
      <c r="K87" s="10"/>
      <c r="L87" s="10" t="s">
        <v>48</v>
      </c>
      <c r="M87" s="10" t="s">
        <v>48</v>
      </c>
      <c r="N87" s="10" t="s">
        <v>48</v>
      </c>
      <c r="O87" s="10" t="s">
        <v>48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73">
        <f t="shared" si="1"/>
        <v>4</v>
      </c>
      <c r="AK87" s="73"/>
      <c r="AL87" s="181"/>
    </row>
    <row r="88" spans="2:38" ht="16.05" customHeight="1" x14ac:dyDescent="0.3">
      <c r="B88" s="109">
        <v>87</v>
      </c>
      <c r="C88" s="110" t="s">
        <v>208</v>
      </c>
      <c r="D88" s="42" t="s">
        <v>76</v>
      </c>
      <c r="E88" s="42" t="s">
        <v>209</v>
      </c>
      <c r="F88" s="10"/>
      <c r="G88" s="10"/>
      <c r="H88" s="10"/>
      <c r="I88" s="10"/>
      <c r="J88" s="10" t="s">
        <v>48</v>
      </c>
      <c r="K88" s="10" t="s">
        <v>48</v>
      </c>
      <c r="L88" s="10" t="s">
        <v>48</v>
      </c>
      <c r="M88" s="10" t="s">
        <v>48</v>
      </c>
      <c r="N88" s="10" t="s">
        <v>48</v>
      </c>
      <c r="O88" s="10" t="s">
        <v>48</v>
      </c>
      <c r="P88" s="10" t="s">
        <v>48</v>
      </c>
      <c r="Q88" s="10" t="s">
        <v>48</v>
      </c>
      <c r="R88" s="10" t="s">
        <v>48</v>
      </c>
      <c r="S88" s="10" t="s">
        <v>48</v>
      </c>
      <c r="T88" s="10" t="s">
        <v>48</v>
      </c>
      <c r="U88" s="10" t="s">
        <v>48</v>
      </c>
      <c r="V88" s="10" t="s">
        <v>48</v>
      </c>
      <c r="W88" s="10" t="s">
        <v>48</v>
      </c>
      <c r="X88" s="10" t="s">
        <v>48</v>
      </c>
      <c r="Y88" s="10" t="s">
        <v>48</v>
      </c>
      <c r="Z88" s="10" t="s">
        <v>48</v>
      </c>
      <c r="AA88" s="10" t="s">
        <v>48</v>
      </c>
      <c r="AB88" s="10" t="s">
        <v>48</v>
      </c>
      <c r="AC88" s="10" t="s">
        <v>48</v>
      </c>
      <c r="AD88" s="10" t="s">
        <v>48</v>
      </c>
      <c r="AE88" s="10" t="s">
        <v>48</v>
      </c>
      <c r="AF88" s="10" t="s">
        <v>48</v>
      </c>
      <c r="AG88" s="10" t="s">
        <v>48</v>
      </c>
      <c r="AH88" s="10" t="s">
        <v>48</v>
      </c>
      <c r="AI88" s="10" t="s">
        <v>48</v>
      </c>
      <c r="AJ88" s="73">
        <f t="shared" si="1"/>
        <v>26</v>
      </c>
      <c r="AK88" s="73"/>
      <c r="AL88" s="181"/>
    </row>
    <row r="89" spans="2:38" ht="16.05" customHeight="1" x14ac:dyDescent="0.3">
      <c r="B89" s="109">
        <v>88</v>
      </c>
      <c r="C89" s="10" t="s">
        <v>236</v>
      </c>
      <c r="D89" s="43" t="s">
        <v>237</v>
      </c>
      <c r="E89" s="43" t="s">
        <v>238</v>
      </c>
      <c r="F89" s="10"/>
      <c r="G89" s="10"/>
      <c r="H89" s="10" t="s">
        <v>48</v>
      </c>
      <c r="I89" s="10" t="s">
        <v>48</v>
      </c>
      <c r="J89" s="10" t="s">
        <v>48</v>
      </c>
      <c r="K89" s="10" t="s">
        <v>48</v>
      </c>
      <c r="L89" s="10" t="s">
        <v>48</v>
      </c>
      <c r="M89" s="10" t="s">
        <v>48</v>
      </c>
      <c r="N89" s="10" t="s">
        <v>48</v>
      </c>
      <c r="O89" s="10" t="s">
        <v>48</v>
      </c>
      <c r="P89" s="10" t="s">
        <v>48</v>
      </c>
      <c r="Q89" s="10" t="s">
        <v>48</v>
      </c>
      <c r="R89" s="10" t="s">
        <v>48</v>
      </c>
      <c r="S89" s="10" t="s">
        <v>48</v>
      </c>
      <c r="T89" s="10"/>
      <c r="U89" s="10"/>
      <c r="V89" s="10"/>
      <c r="W89" s="10" t="s">
        <v>48</v>
      </c>
      <c r="X89" s="10" t="s">
        <v>48</v>
      </c>
      <c r="Y89" s="10" t="s">
        <v>48</v>
      </c>
      <c r="Z89" s="10" t="s">
        <v>48</v>
      </c>
      <c r="AA89" s="10" t="s">
        <v>48</v>
      </c>
      <c r="AB89" s="10" t="s">
        <v>48</v>
      </c>
      <c r="AC89" s="10" t="s">
        <v>48</v>
      </c>
      <c r="AD89" s="10" t="s">
        <v>48</v>
      </c>
      <c r="AE89" s="10"/>
      <c r="AF89" s="10"/>
      <c r="AG89" s="10"/>
      <c r="AH89" s="10" t="s">
        <v>48</v>
      </c>
      <c r="AI89" s="10" t="s">
        <v>48</v>
      </c>
      <c r="AJ89" s="73">
        <f t="shared" si="1"/>
        <v>22</v>
      </c>
      <c r="AK89" s="73"/>
      <c r="AL89" s="181"/>
    </row>
    <row r="90" spans="2:38" ht="16.05" customHeight="1" x14ac:dyDescent="0.3">
      <c r="B90" s="109">
        <v>89</v>
      </c>
      <c r="C90" s="172" t="s">
        <v>100</v>
      </c>
      <c r="D90" s="42" t="s">
        <v>688</v>
      </c>
      <c r="E90" s="42" t="s">
        <v>117</v>
      </c>
      <c r="F90" s="110" t="s">
        <v>48</v>
      </c>
      <c r="G90" s="110" t="s">
        <v>48</v>
      </c>
      <c r="H90" s="110" t="s">
        <v>48</v>
      </c>
      <c r="I90" s="110" t="s">
        <v>48</v>
      </c>
      <c r="J90" s="10"/>
      <c r="K90" s="110" t="s">
        <v>48</v>
      </c>
      <c r="L90" s="110" t="s">
        <v>48</v>
      </c>
      <c r="M90" s="10"/>
      <c r="N90" s="110" t="s">
        <v>48</v>
      </c>
      <c r="O90" s="110" t="s">
        <v>48</v>
      </c>
      <c r="P90" s="110" t="s">
        <v>48</v>
      </c>
      <c r="Q90" s="10"/>
      <c r="R90" s="110" t="s">
        <v>48</v>
      </c>
      <c r="S90" s="110" t="s">
        <v>48</v>
      </c>
      <c r="T90" s="110" t="s">
        <v>48</v>
      </c>
      <c r="U90" s="110" t="s">
        <v>412</v>
      </c>
      <c r="V90" s="110" t="s">
        <v>48</v>
      </c>
      <c r="W90" s="110" t="s">
        <v>48</v>
      </c>
      <c r="X90" s="10"/>
      <c r="Y90" s="110" t="s">
        <v>48</v>
      </c>
      <c r="Z90" s="110" t="s">
        <v>48</v>
      </c>
      <c r="AA90" s="110" t="s">
        <v>48</v>
      </c>
      <c r="AB90" s="110" t="s">
        <v>48</v>
      </c>
      <c r="AC90" s="110" t="s">
        <v>48</v>
      </c>
      <c r="AD90" s="110" t="s">
        <v>48</v>
      </c>
      <c r="AE90" s="10"/>
      <c r="AF90" s="110" t="s">
        <v>48</v>
      </c>
      <c r="AG90" s="110" t="s">
        <v>48</v>
      </c>
      <c r="AH90" s="110" t="s">
        <v>48</v>
      </c>
      <c r="AI90" s="110" t="s">
        <v>48</v>
      </c>
      <c r="AJ90" s="73">
        <f t="shared" si="1"/>
        <v>26</v>
      </c>
      <c r="AK90" s="73"/>
      <c r="AL90" s="181"/>
    </row>
    <row r="91" spans="2:38" ht="16.05" customHeight="1" x14ac:dyDescent="0.3">
      <c r="B91" s="109">
        <v>90</v>
      </c>
      <c r="C91" s="10" t="s">
        <v>553</v>
      </c>
      <c r="D91" s="43" t="s">
        <v>74</v>
      </c>
      <c r="E91" s="43" t="s">
        <v>75</v>
      </c>
      <c r="F91" s="10"/>
      <c r="G91" s="10"/>
      <c r="H91" s="10"/>
      <c r="I91" s="10"/>
      <c r="J91" s="10"/>
      <c r="K91" s="10"/>
      <c r="L91" s="10"/>
      <c r="M91" s="10"/>
      <c r="N91" s="10"/>
      <c r="O91" s="10" t="s">
        <v>48</v>
      </c>
      <c r="P91" s="10" t="s">
        <v>48</v>
      </c>
      <c r="Q91" s="10" t="s">
        <v>48</v>
      </c>
      <c r="R91" s="10" t="s">
        <v>412</v>
      </c>
      <c r="S91" s="10" t="s">
        <v>48</v>
      </c>
      <c r="T91" s="10" t="s">
        <v>48</v>
      </c>
      <c r="U91" s="10" t="s">
        <v>48</v>
      </c>
      <c r="V91" s="10" t="s">
        <v>48</v>
      </c>
      <c r="W91" s="10" t="s">
        <v>48</v>
      </c>
      <c r="X91" s="10" t="s">
        <v>48</v>
      </c>
      <c r="Y91" s="10" t="s">
        <v>48</v>
      </c>
      <c r="Z91" s="10" t="s">
        <v>48</v>
      </c>
      <c r="AA91" s="10" t="s">
        <v>48</v>
      </c>
      <c r="AB91" s="10" t="s">
        <v>48</v>
      </c>
      <c r="AC91" s="10" t="s">
        <v>48</v>
      </c>
      <c r="AD91" s="10"/>
      <c r="AE91" s="10" t="s">
        <v>48</v>
      </c>
      <c r="AF91" s="10" t="s">
        <v>48</v>
      </c>
      <c r="AG91" s="10" t="s">
        <v>48</v>
      </c>
      <c r="AH91" s="10" t="s">
        <v>48</v>
      </c>
      <c r="AI91" s="10" t="s">
        <v>48</v>
      </c>
      <c r="AJ91" s="73">
        <f t="shared" si="1"/>
        <v>21</v>
      </c>
      <c r="AK91" s="73"/>
      <c r="AL91" s="181"/>
    </row>
    <row r="92" spans="2:38" ht="16.05" customHeight="1" x14ac:dyDescent="0.3">
      <c r="B92" s="109">
        <v>91</v>
      </c>
      <c r="C92" s="10" t="s">
        <v>176</v>
      </c>
      <c r="D92" s="43" t="s">
        <v>177</v>
      </c>
      <c r="E92" s="43" t="s">
        <v>178</v>
      </c>
      <c r="F92" s="10" t="s">
        <v>48</v>
      </c>
      <c r="G92" s="10" t="s">
        <v>48</v>
      </c>
      <c r="H92" s="10"/>
      <c r="I92" s="10" t="s">
        <v>48</v>
      </c>
      <c r="J92" s="10" t="s">
        <v>48</v>
      </c>
      <c r="K92" s="10" t="s">
        <v>48</v>
      </c>
      <c r="L92" s="10" t="s">
        <v>48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 t="s">
        <v>48</v>
      </c>
      <c r="AA92" s="10" t="s">
        <v>48</v>
      </c>
      <c r="AB92" s="10"/>
      <c r="AC92" s="10"/>
      <c r="AD92" s="10"/>
      <c r="AE92" s="10"/>
      <c r="AF92" s="10"/>
      <c r="AG92" s="10"/>
      <c r="AH92" s="10"/>
      <c r="AI92" s="10"/>
      <c r="AJ92" s="73">
        <f t="shared" si="1"/>
        <v>8</v>
      </c>
      <c r="AK92" s="73"/>
      <c r="AL92" s="181"/>
    </row>
    <row r="93" spans="2:38" ht="16.05" customHeight="1" x14ac:dyDescent="0.3">
      <c r="B93" s="109">
        <v>92</v>
      </c>
      <c r="C93" s="110" t="s">
        <v>554</v>
      </c>
      <c r="D93" s="42" t="s">
        <v>302</v>
      </c>
      <c r="E93" s="42" t="s">
        <v>303</v>
      </c>
      <c r="F93" s="110" t="s">
        <v>48</v>
      </c>
      <c r="G93" s="10"/>
      <c r="H93" s="10"/>
      <c r="I93" s="10"/>
      <c r="J93" s="10"/>
      <c r="K93" s="10"/>
      <c r="L93" s="10" t="s">
        <v>48</v>
      </c>
      <c r="M93" s="10" t="s">
        <v>48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73">
        <f t="shared" si="1"/>
        <v>3</v>
      </c>
      <c r="AK93" s="73"/>
      <c r="AL93" s="181"/>
    </row>
    <row r="94" spans="2:38" ht="16.05" customHeight="1" x14ac:dyDescent="0.3">
      <c r="B94" s="109">
        <v>93</v>
      </c>
      <c r="C94" s="10" t="s">
        <v>121</v>
      </c>
      <c r="D94" s="43" t="s">
        <v>128</v>
      </c>
      <c r="E94" s="43" t="s">
        <v>129</v>
      </c>
      <c r="F94" s="10" t="s">
        <v>48</v>
      </c>
      <c r="G94" s="10" t="s">
        <v>48</v>
      </c>
      <c r="H94" s="10" t="s">
        <v>48</v>
      </c>
      <c r="I94" s="10"/>
      <c r="J94" s="10" t="s">
        <v>48</v>
      </c>
      <c r="K94" s="10" t="s">
        <v>48</v>
      </c>
      <c r="L94" s="10" t="s">
        <v>48</v>
      </c>
      <c r="M94" s="10" t="s">
        <v>48</v>
      </c>
      <c r="N94" s="10" t="s">
        <v>48</v>
      </c>
      <c r="O94" s="10" t="s">
        <v>48</v>
      </c>
      <c r="P94" s="10"/>
      <c r="Q94" s="10" t="s">
        <v>48</v>
      </c>
      <c r="R94" s="10" t="s">
        <v>48</v>
      </c>
      <c r="S94" s="10" t="s">
        <v>48</v>
      </c>
      <c r="T94" s="10" t="s">
        <v>48</v>
      </c>
      <c r="U94" s="10" t="s">
        <v>48</v>
      </c>
      <c r="V94" s="10" t="s">
        <v>48</v>
      </c>
      <c r="W94" s="10"/>
      <c r="X94" s="10" t="s">
        <v>48</v>
      </c>
      <c r="Y94" s="10" t="s">
        <v>48</v>
      </c>
      <c r="Z94" s="10" t="s">
        <v>48</v>
      </c>
      <c r="AA94" s="10" t="s">
        <v>48</v>
      </c>
      <c r="AB94" s="10" t="s">
        <v>48</v>
      </c>
      <c r="AC94" s="10" t="s">
        <v>48</v>
      </c>
      <c r="AD94" s="10"/>
      <c r="AE94" s="10"/>
      <c r="AF94" s="10" t="s">
        <v>48</v>
      </c>
      <c r="AG94" s="10" t="s">
        <v>48</v>
      </c>
      <c r="AH94" s="10" t="s">
        <v>48</v>
      </c>
      <c r="AI94" s="10" t="s">
        <v>48</v>
      </c>
      <c r="AJ94" s="73">
        <f t="shared" si="1"/>
        <v>25</v>
      </c>
      <c r="AK94" s="73"/>
      <c r="AL94" s="181"/>
    </row>
    <row r="95" spans="2:38" ht="16.05" customHeight="1" x14ac:dyDescent="0.3">
      <c r="B95" s="109">
        <v>94</v>
      </c>
      <c r="C95" s="10" t="s">
        <v>342</v>
      </c>
      <c r="D95" s="43" t="s">
        <v>340</v>
      </c>
      <c r="E95" s="43" t="s">
        <v>341</v>
      </c>
      <c r="F95" s="10"/>
      <c r="G95" s="10"/>
      <c r="H95" s="10"/>
      <c r="I95" s="10" t="s">
        <v>48</v>
      </c>
      <c r="J95" s="10" t="s">
        <v>48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73">
        <f t="shared" si="1"/>
        <v>2</v>
      </c>
      <c r="AK95" s="73"/>
      <c r="AL95" s="181"/>
    </row>
    <row r="96" spans="2:38" ht="16.05" customHeight="1" x14ac:dyDescent="0.3">
      <c r="B96" s="109">
        <v>95</v>
      </c>
      <c r="C96" s="110" t="s">
        <v>82</v>
      </c>
      <c r="D96" s="42" t="s">
        <v>89</v>
      </c>
      <c r="E96" s="42" t="s">
        <v>90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 t="s">
        <v>48</v>
      </c>
      <c r="T96" s="10" t="s">
        <v>48</v>
      </c>
      <c r="U96" s="10" t="s">
        <v>48</v>
      </c>
      <c r="V96" s="10" t="s">
        <v>48</v>
      </c>
      <c r="W96" s="10" t="s">
        <v>48</v>
      </c>
      <c r="X96" s="10" t="s">
        <v>48</v>
      </c>
      <c r="Y96" s="10"/>
      <c r="Z96" s="10" t="s">
        <v>48</v>
      </c>
      <c r="AA96" s="10" t="s">
        <v>48</v>
      </c>
      <c r="AB96" s="10" t="s">
        <v>48</v>
      </c>
      <c r="AC96" s="10" t="s">
        <v>48</v>
      </c>
      <c r="AD96" s="10" t="s">
        <v>48</v>
      </c>
      <c r="AE96" s="10" t="s">
        <v>48</v>
      </c>
      <c r="AF96" s="10"/>
      <c r="AG96" s="10"/>
      <c r="AH96" s="10"/>
      <c r="AI96" s="10"/>
      <c r="AJ96" s="73">
        <f t="shared" ref="AJ96:AJ122" si="2">COUNTIF(F96:AI96,"p")+COUNTIF(F96:AI96,"pp")+COUNTIF(F96:AI96,"pp")</f>
        <v>12</v>
      </c>
      <c r="AK96" s="73"/>
      <c r="AL96" s="181"/>
    </row>
    <row r="97" spans="2:38" ht="16.05" customHeight="1" x14ac:dyDescent="0.3">
      <c r="B97" s="109">
        <v>96</v>
      </c>
      <c r="C97" s="10" t="s">
        <v>83</v>
      </c>
      <c r="D97" s="43" t="s">
        <v>91</v>
      </c>
      <c r="E97" s="43" t="s">
        <v>92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 t="s">
        <v>48</v>
      </c>
      <c r="T97" s="10" t="s">
        <v>48</v>
      </c>
      <c r="U97" s="10" t="s">
        <v>48</v>
      </c>
      <c r="V97" s="10" t="s">
        <v>48</v>
      </c>
      <c r="W97" s="10" t="s">
        <v>48</v>
      </c>
      <c r="X97" s="10" t="s">
        <v>48</v>
      </c>
      <c r="Y97" s="10"/>
      <c r="Z97" s="10" t="s">
        <v>48</v>
      </c>
      <c r="AA97" s="10" t="s">
        <v>48</v>
      </c>
      <c r="AB97" s="10" t="s">
        <v>48</v>
      </c>
      <c r="AC97" s="10" t="s">
        <v>48</v>
      </c>
      <c r="AD97" s="10" t="s">
        <v>48</v>
      </c>
      <c r="AE97" s="10" t="s">
        <v>48</v>
      </c>
      <c r="AF97" s="10"/>
      <c r="AG97" s="10"/>
      <c r="AH97" s="10"/>
      <c r="AI97" s="10"/>
      <c r="AJ97" s="73">
        <f t="shared" si="2"/>
        <v>12</v>
      </c>
      <c r="AK97" s="73"/>
      <c r="AL97" s="181"/>
    </row>
    <row r="98" spans="2:38" ht="16.05" customHeight="1" x14ac:dyDescent="0.3">
      <c r="B98" s="109">
        <v>97</v>
      </c>
      <c r="C98" s="110" t="s">
        <v>81</v>
      </c>
      <c r="D98" s="42" t="s">
        <v>85</v>
      </c>
      <c r="E98" s="42" t="s">
        <v>86</v>
      </c>
      <c r="F98" s="110" t="s">
        <v>48</v>
      </c>
      <c r="G98" s="110" t="s">
        <v>48</v>
      </c>
      <c r="H98" s="110" t="s">
        <v>48</v>
      </c>
      <c r="I98" s="110" t="s">
        <v>48</v>
      </c>
      <c r="J98" s="110" t="s">
        <v>48</v>
      </c>
      <c r="K98" s="10"/>
      <c r="L98" s="10" t="s">
        <v>48</v>
      </c>
      <c r="M98" s="10" t="s">
        <v>48</v>
      </c>
      <c r="N98" s="10" t="s">
        <v>48</v>
      </c>
      <c r="O98" s="10" t="s">
        <v>48</v>
      </c>
      <c r="P98" s="10" t="s">
        <v>48</v>
      </c>
      <c r="Q98" s="10" t="s">
        <v>48</v>
      </c>
      <c r="R98" s="10"/>
      <c r="S98" s="10" t="s">
        <v>48</v>
      </c>
      <c r="T98" s="10" t="s">
        <v>48</v>
      </c>
      <c r="U98" s="10" t="s">
        <v>48</v>
      </c>
      <c r="V98" s="10" t="s">
        <v>48</v>
      </c>
      <c r="W98" s="10" t="s">
        <v>48</v>
      </c>
      <c r="X98" s="10" t="s">
        <v>48</v>
      </c>
      <c r="Y98" s="10"/>
      <c r="Z98" s="10" t="s">
        <v>48</v>
      </c>
      <c r="AA98" s="10" t="s">
        <v>48</v>
      </c>
      <c r="AB98" s="10" t="s">
        <v>48</v>
      </c>
      <c r="AC98" s="10" t="s">
        <v>48</v>
      </c>
      <c r="AD98" s="10" t="s">
        <v>48</v>
      </c>
      <c r="AE98" s="10" t="s">
        <v>48</v>
      </c>
      <c r="AF98" s="10"/>
      <c r="AG98" s="10"/>
      <c r="AH98" s="10"/>
      <c r="AI98" s="10"/>
      <c r="AJ98" s="73">
        <f t="shared" si="2"/>
        <v>23</v>
      </c>
      <c r="AK98" s="73"/>
      <c r="AL98" s="181"/>
    </row>
    <row r="99" spans="2:38" ht="16.05" customHeight="1" x14ac:dyDescent="0.3">
      <c r="B99" s="109">
        <v>98</v>
      </c>
      <c r="C99" s="10" t="s">
        <v>318</v>
      </c>
      <c r="D99" s="43" t="s">
        <v>287</v>
      </c>
      <c r="E99" s="43" t="s">
        <v>288</v>
      </c>
      <c r="F99" s="10" t="s">
        <v>48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73">
        <f t="shared" si="2"/>
        <v>1</v>
      </c>
      <c r="AK99" s="73"/>
      <c r="AL99" s="181"/>
    </row>
    <row r="100" spans="2:38" ht="16.05" customHeight="1" x14ac:dyDescent="0.3">
      <c r="B100" s="109">
        <v>99</v>
      </c>
      <c r="C100" s="10" t="s">
        <v>305</v>
      </c>
      <c r="D100" s="43" t="s">
        <v>182</v>
      </c>
      <c r="E100" s="43" t="s">
        <v>304</v>
      </c>
      <c r="F100" s="10" t="s">
        <v>48</v>
      </c>
      <c r="G100" s="10" t="s">
        <v>48</v>
      </c>
      <c r="H100" s="10" t="s">
        <v>48</v>
      </c>
      <c r="I100" s="10" t="s">
        <v>48</v>
      </c>
      <c r="J100" s="10"/>
      <c r="K100" s="10" t="s">
        <v>48</v>
      </c>
      <c r="L100" s="10" t="s">
        <v>48</v>
      </c>
      <c r="M100" s="10"/>
      <c r="N100" s="10"/>
      <c r="O100" s="10"/>
      <c r="P100" s="10"/>
      <c r="Q100" s="10"/>
      <c r="R100" s="10" t="s">
        <v>48</v>
      </c>
      <c r="S100" s="10" t="s">
        <v>48</v>
      </c>
      <c r="T100" s="10" t="s">
        <v>48</v>
      </c>
      <c r="U100" s="10" t="s">
        <v>48</v>
      </c>
      <c r="V100" s="10" t="s">
        <v>48</v>
      </c>
      <c r="W100" s="10" t="s">
        <v>48</v>
      </c>
      <c r="X100" s="10"/>
      <c r="Y100" s="10" t="s">
        <v>48</v>
      </c>
      <c r="Z100" s="10" t="s">
        <v>48</v>
      </c>
      <c r="AA100" s="10" t="s">
        <v>48</v>
      </c>
      <c r="AB100" s="10" t="s">
        <v>48</v>
      </c>
      <c r="AC100" s="10" t="s">
        <v>48</v>
      </c>
      <c r="AD100" s="10" t="s">
        <v>48</v>
      </c>
      <c r="AE100" s="10"/>
      <c r="AF100" s="10"/>
      <c r="AG100" s="10"/>
      <c r="AH100" s="10"/>
      <c r="AI100" s="10"/>
      <c r="AJ100" s="73">
        <f t="shared" si="2"/>
        <v>18</v>
      </c>
      <c r="AK100" s="73"/>
      <c r="AL100" s="181"/>
    </row>
    <row r="101" spans="2:38" ht="16.05" customHeight="1" x14ac:dyDescent="0.3">
      <c r="B101" s="109">
        <v>100</v>
      </c>
      <c r="C101" s="10" t="s">
        <v>357</v>
      </c>
      <c r="D101" s="43" t="s">
        <v>356</v>
      </c>
      <c r="E101" s="43" t="s">
        <v>105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 t="s">
        <v>48</v>
      </c>
      <c r="W101" s="10" t="s">
        <v>48</v>
      </c>
      <c r="X101" s="10" t="s">
        <v>48</v>
      </c>
      <c r="Y101" s="10"/>
      <c r="Z101" s="10"/>
      <c r="AA101" s="10"/>
      <c r="AB101" s="10"/>
      <c r="AC101" s="10"/>
      <c r="AD101" s="10"/>
      <c r="AE101" s="10"/>
      <c r="AF101" s="10" t="s">
        <v>48</v>
      </c>
      <c r="AG101" s="10" t="s">
        <v>48</v>
      </c>
      <c r="AH101" s="10" t="s">
        <v>48</v>
      </c>
      <c r="AI101" s="10"/>
      <c r="AJ101" s="73">
        <f t="shared" si="2"/>
        <v>6</v>
      </c>
      <c r="AK101" s="73"/>
      <c r="AL101" s="181"/>
    </row>
    <row r="102" spans="2:38" ht="16.05" customHeight="1" x14ac:dyDescent="0.3">
      <c r="B102" s="109">
        <v>101</v>
      </c>
      <c r="C102" s="10" t="s">
        <v>322</v>
      </c>
      <c r="D102" s="43" t="s">
        <v>49</v>
      </c>
      <c r="E102" s="43" t="s">
        <v>50</v>
      </c>
      <c r="F102" s="10" t="s">
        <v>48</v>
      </c>
      <c r="G102" s="10" t="s">
        <v>48</v>
      </c>
      <c r="H102" s="10" t="s">
        <v>48</v>
      </c>
      <c r="I102" s="10" t="s">
        <v>48</v>
      </c>
      <c r="J102" s="10" t="s">
        <v>48</v>
      </c>
      <c r="K102" s="10"/>
      <c r="L102" s="10" t="s">
        <v>48</v>
      </c>
      <c r="M102" s="10" t="s">
        <v>48</v>
      </c>
      <c r="N102" s="10" t="s">
        <v>48</v>
      </c>
      <c r="O102" s="10" t="s">
        <v>48</v>
      </c>
      <c r="P102" s="10" t="s">
        <v>48</v>
      </c>
      <c r="Q102" s="10" t="s">
        <v>48</v>
      </c>
      <c r="R102" s="10" t="s">
        <v>48</v>
      </c>
      <c r="S102" s="10" t="s">
        <v>48</v>
      </c>
      <c r="T102" s="10" t="s">
        <v>48</v>
      </c>
      <c r="U102" s="10" t="s">
        <v>48</v>
      </c>
      <c r="V102" s="10" t="s">
        <v>48</v>
      </c>
      <c r="W102" s="10" t="s">
        <v>48</v>
      </c>
      <c r="X102" s="10" t="s">
        <v>48</v>
      </c>
      <c r="Y102" s="10" t="s">
        <v>48</v>
      </c>
      <c r="Z102" s="10" t="s">
        <v>48</v>
      </c>
      <c r="AA102" s="10" t="s">
        <v>48</v>
      </c>
      <c r="AB102" s="10"/>
      <c r="AC102" s="10"/>
      <c r="AD102" s="10"/>
      <c r="AE102" s="10"/>
      <c r="AF102" s="10"/>
      <c r="AG102" s="10"/>
      <c r="AH102" s="10"/>
      <c r="AI102" s="10"/>
      <c r="AJ102" s="73">
        <f t="shared" si="2"/>
        <v>21</v>
      </c>
      <c r="AK102" s="73"/>
      <c r="AL102" s="181"/>
    </row>
    <row r="103" spans="2:38" ht="16.05" customHeight="1" x14ac:dyDescent="0.3">
      <c r="B103" s="109">
        <v>102</v>
      </c>
      <c r="C103" s="10" t="s">
        <v>689</v>
      </c>
      <c r="D103" s="43" t="s">
        <v>211</v>
      </c>
      <c r="E103" s="43" t="s">
        <v>690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 t="s">
        <v>48</v>
      </c>
      <c r="AD103" s="10" t="s">
        <v>48</v>
      </c>
      <c r="AE103" s="10" t="s">
        <v>48</v>
      </c>
      <c r="AF103" s="10"/>
      <c r="AG103" s="10"/>
      <c r="AH103" s="10"/>
      <c r="AI103" s="10"/>
      <c r="AJ103" s="73">
        <f t="shared" si="2"/>
        <v>3</v>
      </c>
      <c r="AK103" s="73"/>
      <c r="AL103" s="181"/>
    </row>
    <row r="104" spans="2:38" ht="16.05" customHeight="1" x14ac:dyDescent="0.3">
      <c r="B104" s="109">
        <v>103</v>
      </c>
      <c r="C104" s="10" t="s">
        <v>277</v>
      </c>
      <c r="D104" s="43" t="s">
        <v>278</v>
      </c>
      <c r="E104" s="43" t="s">
        <v>279</v>
      </c>
      <c r="F104" s="10" t="s">
        <v>48</v>
      </c>
      <c r="G104" s="10" t="s">
        <v>48</v>
      </c>
      <c r="H104" s="10" t="s">
        <v>48</v>
      </c>
      <c r="I104" s="10" t="s">
        <v>48</v>
      </c>
      <c r="J104" s="10" t="s">
        <v>48</v>
      </c>
      <c r="K104" s="10" t="s">
        <v>48</v>
      </c>
      <c r="L104" s="10" t="s">
        <v>48</v>
      </c>
      <c r="M104" s="10" t="s">
        <v>48</v>
      </c>
      <c r="N104" s="10" t="s">
        <v>48</v>
      </c>
      <c r="O104" s="10" t="s">
        <v>48</v>
      </c>
      <c r="P104" s="10" t="s">
        <v>48</v>
      </c>
      <c r="Q104" s="10" t="s">
        <v>48</v>
      </c>
      <c r="R104" s="10"/>
      <c r="S104" s="10"/>
      <c r="T104" s="10" t="s">
        <v>48</v>
      </c>
      <c r="U104" s="10" t="s">
        <v>48</v>
      </c>
      <c r="V104" s="10" t="s">
        <v>48</v>
      </c>
      <c r="W104" s="10" t="s">
        <v>48</v>
      </c>
      <c r="X104" s="10" t="s">
        <v>48</v>
      </c>
      <c r="Y104" s="10" t="s">
        <v>48</v>
      </c>
      <c r="Z104" s="10" t="s">
        <v>48</v>
      </c>
      <c r="AA104" s="10" t="s">
        <v>48</v>
      </c>
      <c r="AB104" s="10" t="s">
        <v>48</v>
      </c>
      <c r="AC104" s="10" t="s">
        <v>48</v>
      </c>
      <c r="AD104" s="10"/>
      <c r="AE104" s="10"/>
      <c r="AF104" s="10"/>
      <c r="AG104" s="10"/>
      <c r="AH104" s="10"/>
      <c r="AI104" s="10"/>
      <c r="AJ104" s="73">
        <f t="shared" si="2"/>
        <v>22</v>
      </c>
      <c r="AK104" s="73"/>
      <c r="AL104" s="181"/>
    </row>
    <row r="105" spans="2:38" ht="16.05" customHeight="1" x14ac:dyDescent="0.3">
      <c r="B105" s="109">
        <v>104</v>
      </c>
      <c r="C105" s="110" t="s">
        <v>650</v>
      </c>
      <c r="D105" s="42" t="s">
        <v>248</v>
      </c>
      <c r="E105" s="42" t="s">
        <v>249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 t="s">
        <v>48</v>
      </c>
      <c r="W105" s="10" t="s">
        <v>48</v>
      </c>
      <c r="X105" s="10" t="s">
        <v>48</v>
      </c>
      <c r="Y105" s="10" t="s">
        <v>48</v>
      </c>
      <c r="Z105" s="10" t="s">
        <v>48</v>
      </c>
      <c r="AA105" s="10" t="s">
        <v>48</v>
      </c>
      <c r="AB105" s="10" t="s">
        <v>48</v>
      </c>
      <c r="AC105" s="10" t="s">
        <v>48</v>
      </c>
      <c r="AD105" s="10"/>
      <c r="AE105" s="10" t="s">
        <v>48</v>
      </c>
      <c r="AF105" s="10" t="s">
        <v>48</v>
      </c>
      <c r="AG105" s="10"/>
      <c r="AH105" s="10"/>
      <c r="AI105" s="10"/>
      <c r="AJ105" s="73">
        <f t="shared" si="2"/>
        <v>10</v>
      </c>
      <c r="AK105" s="73"/>
      <c r="AL105" s="181"/>
    </row>
    <row r="106" spans="2:38" ht="16.05" customHeight="1" x14ac:dyDescent="0.3">
      <c r="B106" s="109">
        <v>105</v>
      </c>
      <c r="C106" s="118" t="s">
        <v>56</v>
      </c>
      <c r="D106" s="43" t="s">
        <v>64</v>
      </c>
      <c r="E106" s="43" t="s">
        <v>65</v>
      </c>
      <c r="F106" s="10"/>
      <c r="G106" s="10"/>
      <c r="H106" s="10" t="s">
        <v>48</v>
      </c>
      <c r="I106" s="10" t="s">
        <v>48</v>
      </c>
      <c r="J106" s="10" t="s">
        <v>48</v>
      </c>
      <c r="K106" s="10"/>
      <c r="L106" s="10" t="s">
        <v>48</v>
      </c>
      <c r="M106" s="10" t="s">
        <v>48</v>
      </c>
      <c r="N106" s="10" t="s">
        <v>48</v>
      </c>
      <c r="O106" s="10"/>
      <c r="P106" s="10"/>
      <c r="Q106" s="10"/>
      <c r="R106" s="10" t="s">
        <v>48</v>
      </c>
      <c r="S106" s="10" t="s">
        <v>48</v>
      </c>
      <c r="T106" s="10" t="s">
        <v>48</v>
      </c>
      <c r="U106" s="10"/>
      <c r="V106" s="10"/>
      <c r="W106" s="10"/>
      <c r="X106" s="10"/>
      <c r="Y106" s="10" t="s">
        <v>48</v>
      </c>
      <c r="Z106" s="10" t="s">
        <v>48</v>
      </c>
      <c r="AA106" s="10" t="s">
        <v>48</v>
      </c>
      <c r="AB106" s="10" t="s">
        <v>48</v>
      </c>
      <c r="AC106" s="10" t="s">
        <v>48</v>
      </c>
      <c r="AD106" s="10" t="s">
        <v>48</v>
      </c>
      <c r="AE106" s="10" t="s">
        <v>48</v>
      </c>
      <c r="AF106" s="10" t="s">
        <v>48</v>
      </c>
      <c r="AG106" s="10" t="s">
        <v>48</v>
      </c>
      <c r="AH106" s="10" t="s">
        <v>48</v>
      </c>
      <c r="AI106" s="10" t="s">
        <v>48</v>
      </c>
      <c r="AJ106" s="73">
        <f t="shared" si="2"/>
        <v>20</v>
      </c>
      <c r="AK106" s="73"/>
      <c r="AL106" s="181">
        <v>700</v>
      </c>
    </row>
    <row r="107" spans="2:38" ht="16.05" customHeight="1" x14ac:dyDescent="0.3">
      <c r="B107" s="109">
        <v>106</v>
      </c>
      <c r="C107" s="10" t="s">
        <v>57</v>
      </c>
      <c r="D107" s="43" t="s">
        <v>66</v>
      </c>
      <c r="E107" s="43" t="s">
        <v>67</v>
      </c>
      <c r="F107" s="10" t="s">
        <v>48</v>
      </c>
      <c r="G107" s="10" t="s">
        <v>48</v>
      </c>
      <c r="H107" s="10"/>
      <c r="I107" s="10"/>
      <c r="J107" s="10"/>
      <c r="K107" s="10" t="s">
        <v>48</v>
      </c>
      <c r="L107" s="10" t="s">
        <v>48</v>
      </c>
      <c r="M107" s="10" t="s">
        <v>48</v>
      </c>
      <c r="N107" s="10"/>
      <c r="O107" s="10"/>
      <c r="P107" s="10"/>
      <c r="Q107" s="10"/>
      <c r="R107" s="10"/>
      <c r="S107" s="10"/>
      <c r="T107" s="10"/>
      <c r="U107" s="10"/>
      <c r="V107" s="10" t="s">
        <v>48</v>
      </c>
      <c r="W107" s="10" t="s">
        <v>48</v>
      </c>
      <c r="X107" s="10" t="s">
        <v>48</v>
      </c>
      <c r="Y107" s="10"/>
      <c r="Z107" s="10" t="s">
        <v>48</v>
      </c>
      <c r="AA107" s="10" t="s">
        <v>48</v>
      </c>
      <c r="AB107" s="10" t="s">
        <v>48</v>
      </c>
      <c r="AC107" s="10"/>
      <c r="AD107" s="10"/>
      <c r="AE107" s="10"/>
      <c r="AF107" s="10" t="s">
        <v>48</v>
      </c>
      <c r="AG107" s="10" t="s">
        <v>48</v>
      </c>
      <c r="AH107" s="10" t="s">
        <v>48</v>
      </c>
      <c r="AI107" s="10"/>
      <c r="AJ107" s="73">
        <f t="shared" si="2"/>
        <v>14</v>
      </c>
      <c r="AK107" s="73"/>
      <c r="AL107" s="181"/>
    </row>
    <row r="108" spans="2:38" ht="16.05" customHeight="1" x14ac:dyDescent="0.3">
      <c r="B108" s="109">
        <v>107</v>
      </c>
      <c r="C108" s="110" t="s">
        <v>451</v>
      </c>
      <c r="D108" s="42" t="s">
        <v>245</v>
      </c>
      <c r="E108" s="42" t="s">
        <v>117</v>
      </c>
      <c r="F108" s="110" t="s">
        <v>48</v>
      </c>
      <c r="G108" s="10"/>
      <c r="H108" s="110" t="s">
        <v>48</v>
      </c>
      <c r="I108" s="110" t="s">
        <v>48</v>
      </c>
      <c r="J108" s="110" t="s">
        <v>48</v>
      </c>
      <c r="K108" s="10"/>
      <c r="L108" s="110" t="s">
        <v>48</v>
      </c>
      <c r="M108" s="110" t="s">
        <v>48</v>
      </c>
      <c r="N108" s="110" t="s">
        <v>48</v>
      </c>
      <c r="O108" s="10"/>
      <c r="P108" s="10"/>
      <c r="Q108" s="10"/>
      <c r="R108" s="10" t="s">
        <v>48</v>
      </c>
      <c r="S108" s="10" t="s">
        <v>48</v>
      </c>
      <c r="T108" s="10" t="s">
        <v>48</v>
      </c>
      <c r="U108" s="10"/>
      <c r="V108" s="10" t="s">
        <v>48</v>
      </c>
      <c r="W108" s="10" t="s">
        <v>48</v>
      </c>
      <c r="X108" s="10" t="s">
        <v>48</v>
      </c>
      <c r="Y108" s="10"/>
      <c r="Z108" s="10" t="s">
        <v>48</v>
      </c>
      <c r="AA108" s="10" t="s">
        <v>48</v>
      </c>
      <c r="AB108" s="10" t="s">
        <v>48</v>
      </c>
      <c r="AC108" s="10"/>
      <c r="AD108" s="10"/>
      <c r="AE108" s="10"/>
      <c r="AF108" s="10" t="s">
        <v>48</v>
      </c>
      <c r="AG108" s="10" t="s">
        <v>48</v>
      </c>
      <c r="AH108" s="10" t="s">
        <v>48</v>
      </c>
      <c r="AI108" s="10"/>
      <c r="AJ108" s="73">
        <f t="shared" si="2"/>
        <v>19</v>
      </c>
      <c r="AK108" s="73"/>
      <c r="AL108" s="181"/>
    </row>
    <row r="109" spans="2:38" ht="16.05" customHeight="1" x14ac:dyDescent="0.3">
      <c r="B109" s="109">
        <v>108</v>
      </c>
      <c r="C109" s="110" t="s">
        <v>321</v>
      </c>
      <c r="D109" s="42" t="s">
        <v>319</v>
      </c>
      <c r="E109" s="42" t="s">
        <v>320</v>
      </c>
      <c r="F109" s="110" t="s">
        <v>48</v>
      </c>
      <c r="G109" s="110" t="s">
        <v>48</v>
      </c>
      <c r="H109" s="110" t="s">
        <v>48</v>
      </c>
      <c r="I109" s="110" t="s">
        <v>48</v>
      </c>
      <c r="J109" s="110" t="s">
        <v>48</v>
      </c>
      <c r="K109" s="110" t="s">
        <v>48</v>
      </c>
      <c r="L109" s="110" t="s">
        <v>48</v>
      </c>
      <c r="M109" s="110" t="s">
        <v>48</v>
      </c>
      <c r="N109" s="110" t="s">
        <v>48</v>
      </c>
      <c r="O109" s="10"/>
      <c r="P109" s="110" t="s">
        <v>48</v>
      </c>
      <c r="Q109" s="110" t="s">
        <v>48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 t="s">
        <v>48</v>
      </c>
      <c r="AJ109" s="73">
        <f t="shared" si="2"/>
        <v>12</v>
      </c>
      <c r="AK109" s="73"/>
      <c r="AL109" s="181"/>
    </row>
    <row r="110" spans="2:38" ht="16.05" customHeight="1" x14ac:dyDescent="0.3">
      <c r="B110" s="109">
        <v>109</v>
      </c>
      <c r="C110" s="10" t="s">
        <v>173</v>
      </c>
      <c r="D110" s="43" t="s">
        <v>174</v>
      </c>
      <c r="E110" s="43" t="s">
        <v>175</v>
      </c>
      <c r="F110" s="10" t="s">
        <v>48</v>
      </c>
      <c r="G110" s="10" t="s">
        <v>48</v>
      </c>
      <c r="H110" s="10" t="s">
        <v>412</v>
      </c>
      <c r="I110" s="10" t="s">
        <v>48</v>
      </c>
      <c r="J110" s="10" t="s">
        <v>48</v>
      </c>
      <c r="K110" s="10" t="s">
        <v>48</v>
      </c>
      <c r="L110" s="10"/>
      <c r="M110" s="10"/>
      <c r="N110" s="10"/>
      <c r="O110" s="10"/>
      <c r="P110" s="10"/>
      <c r="Q110" s="10"/>
      <c r="R110" s="10" t="s">
        <v>48</v>
      </c>
      <c r="S110" s="10" t="s">
        <v>48</v>
      </c>
      <c r="T110" s="10" t="s">
        <v>48</v>
      </c>
      <c r="U110" s="10" t="s">
        <v>48</v>
      </c>
      <c r="V110" s="10"/>
      <c r="W110" s="10"/>
      <c r="X110" s="10"/>
      <c r="Y110" s="10" t="s">
        <v>48</v>
      </c>
      <c r="Z110" s="10" t="s">
        <v>48</v>
      </c>
      <c r="AA110" s="10" t="s">
        <v>48</v>
      </c>
      <c r="AB110" s="10" t="s">
        <v>48</v>
      </c>
      <c r="AC110" s="10"/>
      <c r="AD110" s="10"/>
      <c r="AE110" s="10"/>
      <c r="AF110" s="10"/>
      <c r="AG110" s="10"/>
      <c r="AH110" s="10"/>
      <c r="AI110" s="10"/>
      <c r="AJ110" s="73">
        <f t="shared" si="2"/>
        <v>15</v>
      </c>
      <c r="AK110" s="73"/>
      <c r="AL110" s="181"/>
    </row>
    <row r="111" spans="2:38" ht="16.05" customHeight="1" x14ac:dyDescent="0.3">
      <c r="B111" s="109">
        <v>110</v>
      </c>
      <c r="C111" s="110" t="s">
        <v>445</v>
      </c>
      <c r="D111" s="42" t="s">
        <v>53</v>
      </c>
      <c r="E111" s="42" t="s">
        <v>54</v>
      </c>
      <c r="F111" s="110" t="s">
        <v>48</v>
      </c>
      <c r="G111" s="110" t="s">
        <v>48</v>
      </c>
      <c r="H111" s="110" t="s">
        <v>48</v>
      </c>
      <c r="I111" s="10"/>
      <c r="J111" s="10"/>
      <c r="K111" s="10"/>
      <c r="L111" s="10"/>
      <c r="M111" s="10" t="s">
        <v>48</v>
      </c>
      <c r="N111" s="10" t="s">
        <v>48</v>
      </c>
      <c r="O111" s="10"/>
      <c r="P111" s="10"/>
      <c r="Q111" s="10" t="s">
        <v>48</v>
      </c>
      <c r="R111" s="10" t="s">
        <v>48</v>
      </c>
      <c r="S111" s="10" t="s">
        <v>48</v>
      </c>
      <c r="T111" s="10" t="s">
        <v>48</v>
      </c>
      <c r="U111" s="10"/>
      <c r="V111" s="10"/>
      <c r="W111" s="10" t="s">
        <v>48</v>
      </c>
      <c r="X111" s="10" t="s">
        <v>48</v>
      </c>
      <c r="Y111" s="10"/>
      <c r="Z111" s="10" t="s">
        <v>48</v>
      </c>
      <c r="AA111" s="10" t="s">
        <v>48</v>
      </c>
      <c r="AB111" s="10" t="s">
        <v>48</v>
      </c>
      <c r="AC111" s="10" t="s">
        <v>48</v>
      </c>
      <c r="AD111" s="10"/>
      <c r="AE111" s="10"/>
      <c r="AF111" s="10" t="s">
        <v>48</v>
      </c>
      <c r="AG111" s="10" t="s">
        <v>48</v>
      </c>
      <c r="AH111" s="10" t="s">
        <v>48</v>
      </c>
      <c r="AI111" s="10" t="s">
        <v>48</v>
      </c>
      <c r="AJ111" s="73">
        <f t="shared" si="2"/>
        <v>19</v>
      </c>
      <c r="AK111" s="73"/>
      <c r="AL111" s="181"/>
    </row>
    <row r="112" spans="2:38" ht="16.05" customHeight="1" x14ac:dyDescent="0.3">
      <c r="B112" s="109">
        <v>111</v>
      </c>
      <c r="C112" s="110" t="s">
        <v>167</v>
      </c>
      <c r="D112" s="42" t="s">
        <v>168</v>
      </c>
      <c r="E112" s="42" t="s">
        <v>169</v>
      </c>
      <c r="F112" s="110" t="s">
        <v>48</v>
      </c>
      <c r="G112" s="110" t="s">
        <v>48</v>
      </c>
      <c r="H112" s="110" t="s">
        <v>412</v>
      </c>
      <c r="I112" s="110" t="s">
        <v>48</v>
      </c>
      <c r="J112" s="10"/>
      <c r="K112" s="10" t="s">
        <v>412</v>
      </c>
      <c r="L112" s="10" t="s">
        <v>48</v>
      </c>
      <c r="M112" s="10" t="s">
        <v>48</v>
      </c>
      <c r="N112" s="10" t="s">
        <v>48</v>
      </c>
      <c r="O112" s="10" t="s">
        <v>48</v>
      </c>
      <c r="P112" s="10" t="s">
        <v>48</v>
      </c>
      <c r="Q112" s="10" t="s">
        <v>48</v>
      </c>
      <c r="R112" s="10" t="s">
        <v>48</v>
      </c>
      <c r="S112" s="10" t="s">
        <v>48</v>
      </c>
      <c r="T112" s="10" t="s">
        <v>48</v>
      </c>
      <c r="U112" s="10" t="s">
        <v>48</v>
      </c>
      <c r="V112" s="10" t="s">
        <v>48</v>
      </c>
      <c r="W112" s="10"/>
      <c r="X112" s="10"/>
      <c r="Y112" s="10"/>
      <c r="Z112" s="10"/>
      <c r="AA112" s="10"/>
      <c r="AB112" s="10"/>
      <c r="AC112" s="10"/>
      <c r="AD112" s="10" t="s">
        <v>48</v>
      </c>
      <c r="AE112" s="10" t="s">
        <v>48</v>
      </c>
      <c r="AF112" s="10" t="s">
        <v>48</v>
      </c>
      <c r="AG112" s="10" t="s">
        <v>48</v>
      </c>
      <c r="AH112" s="10" t="s">
        <v>48</v>
      </c>
      <c r="AI112" s="10" t="s">
        <v>48</v>
      </c>
      <c r="AJ112" s="73">
        <f t="shared" si="2"/>
        <v>24</v>
      </c>
      <c r="AK112" s="73"/>
      <c r="AL112" s="181"/>
    </row>
    <row r="113" spans="2:38" ht="16.05" customHeight="1" x14ac:dyDescent="0.3">
      <c r="B113" s="109">
        <v>112</v>
      </c>
      <c r="C113" s="10" t="s">
        <v>345</v>
      </c>
      <c r="D113" s="43" t="s">
        <v>343</v>
      </c>
      <c r="E113" s="43" t="s">
        <v>344</v>
      </c>
      <c r="F113" s="10"/>
      <c r="G113" s="10"/>
      <c r="H113" s="10"/>
      <c r="I113" s="10"/>
      <c r="J113" s="10" t="s">
        <v>48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73">
        <f t="shared" si="2"/>
        <v>1</v>
      </c>
      <c r="AK113" s="73"/>
      <c r="AL113" s="181"/>
    </row>
    <row r="114" spans="2:38" ht="16.05" customHeight="1" x14ac:dyDescent="0.3">
      <c r="B114" s="109">
        <v>113</v>
      </c>
      <c r="C114" s="10" t="s">
        <v>691</v>
      </c>
      <c r="D114" s="43" t="s">
        <v>326</v>
      </c>
      <c r="E114" s="43" t="s">
        <v>327</v>
      </c>
      <c r="F114" s="10"/>
      <c r="G114" s="10"/>
      <c r="H114" s="10"/>
      <c r="I114" s="10"/>
      <c r="J114" s="10"/>
      <c r="K114" s="10"/>
      <c r="L114" s="10" t="s">
        <v>48</v>
      </c>
      <c r="M114" s="10" t="s">
        <v>48</v>
      </c>
      <c r="N114" s="10" t="s">
        <v>48</v>
      </c>
      <c r="O114" s="10" t="s">
        <v>48</v>
      </c>
      <c r="P114" s="10" t="s">
        <v>48</v>
      </c>
      <c r="Q114" s="10" t="s">
        <v>48</v>
      </c>
      <c r="R114" s="10"/>
      <c r="S114" s="10" t="s">
        <v>48</v>
      </c>
      <c r="T114" s="10" t="s">
        <v>48</v>
      </c>
      <c r="U114" s="10" t="s">
        <v>48</v>
      </c>
      <c r="V114" s="10" t="s">
        <v>48</v>
      </c>
      <c r="W114" s="10" t="s">
        <v>48</v>
      </c>
      <c r="X114" s="10" t="s">
        <v>48</v>
      </c>
      <c r="Y114" s="10"/>
      <c r="Z114" s="10" t="s">
        <v>48</v>
      </c>
      <c r="AA114" s="10" t="s">
        <v>48</v>
      </c>
      <c r="AB114" s="10" t="s">
        <v>48</v>
      </c>
      <c r="AC114" s="10" t="s">
        <v>48</v>
      </c>
      <c r="AD114" s="10" t="s">
        <v>48</v>
      </c>
      <c r="AE114" s="10" t="s">
        <v>48</v>
      </c>
      <c r="AF114" s="10"/>
      <c r="AG114" s="10"/>
      <c r="AH114" s="10"/>
      <c r="AI114" s="10"/>
      <c r="AJ114" s="73">
        <f t="shared" si="2"/>
        <v>18</v>
      </c>
      <c r="AK114" s="73"/>
      <c r="AL114" s="181"/>
    </row>
    <row r="115" spans="2:38" ht="16.05" customHeight="1" x14ac:dyDescent="0.3">
      <c r="B115" s="109">
        <v>114</v>
      </c>
      <c r="C115" s="110" t="s">
        <v>339</v>
      </c>
      <c r="D115" s="42" t="s">
        <v>337</v>
      </c>
      <c r="E115" s="42" t="s">
        <v>338</v>
      </c>
      <c r="F115" s="10"/>
      <c r="G115" s="110" t="s">
        <v>48</v>
      </c>
      <c r="H115" s="110" t="s">
        <v>48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 t="s">
        <v>48</v>
      </c>
      <c r="AD115" s="10" t="s">
        <v>48</v>
      </c>
      <c r="AE115" s="10" t="s">
        <v>48</v>
      </c>
      <c r="AF115" s="10" t="s">
        <v>48</v>
      </c>
      <c r="AG115" s="10"/>
      <c r="AH115" s="10" t="s">
        <v>48</v>
      </c>
      <c r="AI115" s="10" t="s">
        <v>48</v>
      </c>
      <c r="AJ115" s="73">
        <f t="shared" si="2"/>
        <v>8</v>
      </c>
      <c r="AK115" s="73"/>
      <c r="AL115" s="181"/>
    </row>
    <row r="116" spans="2:38" ht="16.05" customHeight="1" x14ac:dyDescent="0.3">
      <c r="B116" s="109">
        <v>115</v>
      </c>
      <c r="C116" s="110" t="s">
        <v>426</v>
      </c>
      <c r="D116" s="42" t="s">
        <v>424</v>
      </c>
      <c r="E116" s="42" t="s">
        <v>425</v>
      </c>
      <c r="F116" s="10"/>
      <c r="G116" s="10"/>
      <c r="H116" s="110" t="s">
        <v>48</v>
      </c>
      <c r="I116" s="110" t="s">
        <v>48</v>
      </c>
      <c r="J116" s="110" t="s">
        <v>48</v>
      </c>
      <c r="K116" s="110" t="s">
        <v>48</v>
      </c>
      <c r="L116" s="110" t="s">
        <v>48</v>
      </c>
      <c r="M116" s="10"/>
      <c r="N116" s="10"/>
      <c r="O116" s="10"/>
      <c r="P116" s="10"/>
      <c r="Q116" s="10" t="s">
        <v>48</v>
      </c>
      <c r="R116" s="10" t="s">
        <v>48</v>
      </c>
      <c r="S116" s="10" t="s">
        <v>48</v>
      </c>
      <c r="T116" s="10" t="s">
        <v>48</v>
      </c>
      <c r="U116" s="10" t="s">
        <v>48</v>
      </c>
      <c r="V116" s="10" t="s">
        <v>48</v>
      </c>
      <c r="W116" s="10"/>
      <c r="X116" s="10"/>
      <c r="Y116" s="10"/>
      <c r="Z116" s="10" t="s">
        <v>48</v>
      </c>
      <c r="AA116" s="10" t="s">
        <v>48</v>
      </c>
      <c r="AB116" s="10" t="s">
        <v>48</v>
      </c>
      <c r="AC116" s="10" t="s">
        <v>48</v>
      </c>
      <c r="AD116" s="10"/>
      <c r="AE116" s="10"/>
      <c r="AF116" s="10"/>
      <c r="AG116" s="10"/>
      <c r="AH116" s="10"/>
      <c r="AI116" s="10"/>
      <c r="AJ116" s="73">
        <f t="shared" si="2"/>
        <v>15</v>
      </c>
      <c r="AK116" s="73"/>
      <c r="AL116" s="181"/>
    </row>
    <row r="117" spans="2:38" ht="16.05" customHeight="1" x14ac:dyDescent="0.3">
      <c r="B117" s="109">
        <v>116</v>
      </c>
      <c r="C117" s="118" t="s">
        <v>58</v>
      </c>
      <c r="D117" s="43" t="s">
        <v>68</v>
      </c>
      <c r="E117" s="43" t="s">
        <v>69</v>
      </c>
      <c r="F117" s="10" t="s">
        <v>48</v>
      </c>
      <c r="G117" s="10" t="s">
        <v>48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 t="s">
        <v>48</v>
      </c>
      <c r="T117" s="10" t="s">
        <v>48</v>
      </c>
      <c r="U117" s="10" t="s">
        <v>48</v>
      </c>
      <c r="V117" s="10" t="s">
        <v>48</v>
      </c>
      <c r="W117" s="10"/>
      <c r="X117" s="10"/>
      <c r="Y117" s="10"/>
      <c r="Z117" s="10" t="s">
        <v>48</v>
      </c>
      <c r="AA117" s="10" t="s">
        <v>48</v>
      </c>
      <c r="AB117" s="10" t="s">
        <v>48</v>
      </c>
      <c r="AC117" s="10"/>
      <c r="AD117" s="10"/>
      <c r="AE117" s="10"/>
      <c r="AF117" s="10" t="s">
        <v>48</v>
      </c>
      <c r="AG117" s="10" t="s">
        <v>48</v>
      </c>
      <c r="AH117" s="10" t="s">
        <v>48</v>
      </c>
      <c r="AI117" s="10"/>
      <c r="AJ117" s="73">
        <f t="shared" si="2"/>
        <v>12</v>
      </c>
      <c r="AK117" s="73"/>
      <c r="AL117" s="181"/>
    </row>
    <row r="118" spans="2:38" ht="16.05" customHeight="1" x14ac:dyDescent="0.3">
      <c r="B118" s="109">
        <v>117</v>
      </c>
      <c r="C118" s="10" t="s">
        <v>156</v>
      </c>
      <c r="D118" s="43" t="s">
        <v>163</v>
      </c>
      <c r="E118" s="43" t="s">
        <v>164</v>
      </c>
      <c r="F118" s="10" t="s">
        <v>48</v>
      </c>
      <c r="G118" s="10" t="s">
        <v>48</v>
      </c>
      <c r="H118" s="10" t="s">
        <v>48</v>
      </c>
      <c r="I118" s="10"/>
      <c r="J118" s="10" t="s">
        <v>48</v>
      </c>
      <c r="K118" s="10" t="s">
        <v>48</v>
      </c>
      <c r="L118" s="10" t="s">
        <v>48</v>
      </c>
      <c r="M118" s="10" t="s">
        <v>48</v>
      </c>
      <c r="N118" s="10"/>
      <c r="O118" s="10" t="s">
        <v>48</v>
      </c>
      <c r="P118" s="10" t="s">
        <v>48</v>
      </c>
      <c r="Q118" s="10" t="s">
        <v>48</v>
      </c>
      <c r="R118" s="10" t="s">
        <v>48</v>
      </c>
      <c r="S118" s="10"/>
      <c r="T118" s="10"/>
      <c r="U118" s="10"/>
      <c r="V118" s="10"/>
      <c r="W118" s="10"/>
      <c r="X118" s="10" t="s">
        <v>48</v>
      </c>
      <c r="Y118" s="10" t="s">
        <v>48</v>
      </c>
      <c r="Z118" s="10" t="s">
        <v>48</v>
      </c>
      <c r="AA118" s="10" t="s">
        <v>48</v>
      </c>
      <c r="AB118" s="10"/>
      <c r="AC118" s="10"/>
      <c r="AD118" s="10"/>
      <c r="AE118" s="10"/>
      <c r="AF118" s="10"/>
      <c r="AG118" s="10"/>
      <c r="AH118" s="10"/>
      <c r="AI118" s="10"/>
      <c r="AJ118" s="73">
        <f t="shared" si="2"/>
        <v>15</v>
      </c>
      <c r="AK118" s="73"/>
      <c r="AL118" s="181"/>
    </row>
    <row r="119" spans="2:38" ht="16.05" customHeight="1" x14ac:dyDescent="0.3">
      <c r="B119" s="109">
        <v>118</v>
      </c>
      <c r="C119" s="110" t="s">
        <v>143</v>
      </c>
      <c r="D119" s="42" t="s">
        <v>151</v>
      </c>
      <c r="E119" s="42" t="s">
        <v>152</v>
      </c>
      <c r="F119" s="110" t="s">
        <v>48</v>
      </c>
      <c r="G119" s="110" t="s">
        <v>48</v>
      </c>
      <c r="H119" s="110" t="s">
        <v>48</v>
      </c>
      <c r="I119" s="10"/>
      <c r="J119" s="10" t="s">
        <v>48</v>
      </c>
      <c r="K119" s="10" t="s">
        <v>48</v>
      </c>
      <c r="L119" s="10" t="s">
        <v>48</v>
      </c>
      <c r="M119" s="10" t="s">
        <v>48</v>
      </c>
      <c r="N119" s="10"/>
      <c r="O119" s="10" t="s">
        <v>48</v>
      </c>
      <c r="P119" s="10" t="s">
        <v>48</v>
      </c>
      <c r="Q119" s="10" t="s">
        <v>48</v>
      </c>
      <c r="R119" s="10" t="s">
        <v>48</v>
      </c>
      <c r="S119" s="10" t="s">
        <v>48</v>
      </c>
      <c r="T119" s="10" t="s">
        <v>48</v>
      </c>
      <c r="U119" s="10" t="s">
        <v>48</v>
      </c>
      <c r="V119" s="10" t="s">
        <v>48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73">
        <f t="shared" si="2"/>
        <v>15</v>
      </c>
      <c r="AK119" s="73"/>
      <c r="AL119" s="181"/>
    </row>
    <row r="120" spans="2:38" ht="16.05" customHeight="1" x14ac:dyDescent="0.3">
      <c r="B120" s="109">
        <v>119</v>
      </c>
      <c r="C120" s="110" t="s">
        <v>692</v>
      </c>
      <c r="D120" s="42" t="s">
        <v>182</v>
      </c>
      <c r="E120" s="42" t="s">
        <v>183</v>
      </c>
      <c r="F120" s="110" t="s">
        <v>48</v>
      </c>
      <c r="G120" s="110" t="s">
        <v>48</v>
      </c>
      <c r="H120" s="10"/>
      <c r="I120" s="10"/>
      <c r="J120" s="110" t="s">
        <v>48</v>
      </c>
      <c r="K120" s="110" t="s">
        <v>48</v>
      </c>
      <c r="L120" s="110" t="s">
        <v>48</v>
      </c>
      <c r="M120" s="110" t="s">
        <v>48</v>
      </c>
      <c r="N120" s="110" t="s">
        <v>48</v>
      </c>
      <c r="O120" s="10"/>
      <c r="P120" s="10"/>
      <c r="Q120" s="10"/>
      <c r="R120" s="10"/>
      <c r="S120" s="10"/>
      <c r="T120" s="10"/>
      <c r="U120" s="10"/>
      <c r="V120" s="10"/>
      <c r="W120" s="10" t="s">
        <v>48</v>
      </c>
      <c r="X120" s="10" t="s">
        <v>48</v>
      </c>
      <c r="Y120" s="10" t="s">
        <v>48</v>
      </c>
      <c r="Z120" s="10" t="s">
        <v>48</v>
      </c>
      <c r="AA120" s="10" t="s">
        <v>48</v>
      </c>
      <c r="AB120" s="10" t="s">
        <v>48</v>
      </c>
      <c r="AC120" s="10"/>
      <c r="AD120" s="10"/>
      <c r="AE120" s="10"/>
      <c r="AF120" s="10" t="s">
        <v>48</v>
      </c>
      <c r="AG120" s="10" t="s">
        <v>48</v>
      </c>
      <c r="AH120" s="10" t="s">
        <v>48</v>
      </c>
      <c r="AI120" s="10" t="s">
        <v>48</v>
      </c>
      <c r="AJ120" s="73">
        <f t="shared" si="2"/>
        <v>17</v>
      </c>
      <c r="AK120" s="73"/>
      <c r="AL120" s="181"/>
    </row>
    <row r="121" spans="2:38" ht="16.05" customHeight="1" x14ac:dyDescent="0.3">
      <c r="B121" s="109">
        <v>120</v>
      </c>
      <c r="C121" s="110" t="s">
        <v>693</v>
      </c>
      <c r="D121" s="42" t="s">
        <v>246</v>
      </c>
      <c r="E121" s="42" t="s">
        <v>247</v>
      </c>
      <c r="F121" s="110" t="s">
        <v>48</v>
      </c>
      <c r="G121" s="10"/>
      <c r="H121" s="110" t="s">
        <v>48</v>
      </c>
      <c r="I121" s="110" t="s">
        <v>48</v>
      </c>
      <c r="J121" s="110" t="s">
        <v>48</v>
      </c>
      <c r="K121" s="10"/>
      <c r="L121" s="110" t="s">
        <v>48</v>
      </c>
      <c r="M121" s="110" t="s">
        <v>48</v>
      </c>
      <c r="N121" s="110" t="s">
        <v>48</v>
      </c>
      <c r="O121" s="10"/>
      <c r="P121" s="10"/>
      <c r="Q121" s="10"/>
      <c r="R121" s="10" t="s">
        <v>48</v>
      </c>
      <c r="S121" s="10" t="s">
        <v>48</v>
      </c>
      <c r="T121" s="10" t="s">
        <v>48</v>
      </c>
      <c r="U121" s="10"/>
      <c r="V121" s="10"/>
      <c r="W121" s="10"/>
      <c r="X121" s="10"/>
      <c r="Y121" s="10"/>
      <c r="Z121" s="10" t="s">
        <v>48</v>
      </c>
      <c r="AA121" s="10" t="s">
        <v>48</v>
      </c>
      <c r="AB121" s="10" t="s">
        <v>48</v>
      </c>
      <c r="AC121" s="10" t="s">
        <v>722</v>
      </c>
      <c r="AD121" s="10"/>
      <c r="AE121" s="10"/>
      <c r="AF121" s="10" t="s">
        <v>48</v>
      </c>
      <c r="AG121" s="10" t="s">
        <v>48</v>
      </c>
      <c r="AH121" s="10" t="s">
        <v>48</v>
      </c>
      <c r="AI121" s="10"/>
      <c r="AJ121" s="73">
        <f t="shared" si="2"/>
        <v>16</v>
      </c>
      <c r="AK121" s="73"/>
      <c r="AL121" s="181"/>
    </row>
    <row r="122" spans="2:38" ht="16.05" customHeight="1" x14ac:dyDescent="0.3">
      <c r="B122" s="109">
        <v>121</v>
      </c>
      <c r="C122" s="110" t="s">
        <v>210</v>
      </c>
      <c r="D122" s="42" t="s">
        <v>211</v>
      </c>
      <c r="E122" s="42" t="s">
        <v>212</v>
      </c>
      <c r="F122" s="110" t="s">
        <v>48</v>
      </c>
      <c r="G122" s="110" t="s">
        <v>48</v>
      </c>
      <c r="H122" s="110" t="s">
        <v>48</v>
      </c>
      <c r="I122" s="110" t="s">
        <v>48</v>
      </c>
      <c r="J122" s="10"/>
      <c r="K122" s="110" t="s">
        <v>48</v>
      </c>
      <c r="L122" s="110" t="s">
        <v>48</v>
      </c>
      <c r="M122" s="110" t="s">
        <v>48</v>
      </c>
      <c r="N122" s="110" t="s">
        <v>48</v>
      </c>
      <c r="O122" s="110" t="s">
        <v>48</v>
      </c>
      <c r="P122" s="110" t="s">
        <v>48</v>
      </c>
      <c r="Q122" s="10"/>
      <c r="R122" s="110" t="s">
        <v>48</v>
      </c>
      <c r="S122" s="110" t="s">
        <v>48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73">
        <f t="shared" si="2"/>
        <v>12</v>
      </c>
      <c r="AK122" s="73"/>
      <c r="AL122" s="181"/>
    </row>
    <row r="123" spans="2:38" ht="16.05" customHeight="1" x14ac:dyDescent="0.3">
      <c r="B123" s="109">
        <v>122</v>
      </c>
      <c r="C123" s="110" t="s">
        <v>274</v>
      </c>
      <c r="D123" s="42" t="s">
        <v>275</v>
      </c>
      <c r="E123" s="42" t="s">
        <v>276</v>
      </c>
      <c r="F123" s="110" t="s">
        <v>48</v>
      </c>
      <c r="G123" s="110" t="s">
        <v>48</v>
      </c>
      <c r="H123" s="110" t="s">
        <v>48</v>
      </c>
      <c r="I123" s="110" t="s">
        <v>48</v>
      </c>
      <c r="J123" s="110" t="s">
        <v>48</v>
      </c>
      <c r="K123" s="110" t="s">
        <v>48</v>
      </c>
      <c r="L123" s="110" t="s">
        <v>48</v>
      </c>
      <c r="M123" s="110" t="s">
        <v>48</v>
      </c>
      <c r="N123" s="110" t="s">
        <v>48</v>
      </c>
      <c r="O123" s="110" t="s">
        <v>48</v>
      </c>
      <c r="P123" s="110" t="s">
        <v>48</v>
      </c>
      <c r="Q123" s="110" t="s">
        <v>48</v>
      </c>
      <c r="R123" s="110" t="s">
        <v>48</v>
      </c>
      <c r="S123" s="110" t="s">
        <v>48</v>
      </c>
      <c r="T123" s="110" t="s">
        <v>48</v>
      </c>
      <c r="U123" s="110" t="s">
        <v>48</v>
      </c>
      <c r="V123" s="10"/>
      <c r="W123" s="10"/>
      <c r="X123" s="10"/>
      <c r="Y123" s="10"/>
      <c r="Z123" s="10" t="s">
        <v>48</v>
      </c>
      <c r="AA123" s="10" t="s">
        <v>48</v>
      </c>
      <c r="AB123" s="10" t="s">
        <v>48</v>
      </c>
      <c r="AC123" s="10" t="s">
        <v>48</v>
      </c>
      <c r="AD123" s="10"/>
      <c r="AE123" s="10"/>
      <c r="AF123" s="10"/>
      <c r="AG123" s="10"/>
      <c r="AH123" s="10"/>
      <c r="AI123" s="10"/>
      <c r="AJ123" s="73">
        <f t="shared" ref="AJ123:AJ171" si="3">COUNTIF(F123:AI123,"p")+COUNTIF(F123:AI123,"pp")+COUNTIF(F123:AI123,"pp")</f>
        <v>20</v>
      </c>
      <c r="AK123" s="73"/>
      <c r="AL123" s="181"/>
    </row>
    <row r="124" spans="2:38" ht="16.05" customHeight="1" x14ac:dyDescent="0.3">
      <c r="B124" s="109">
        <v>123</v>
      </c>
      <c r="C124" s="10" t="s">
        <v>694</v>
      </c>
      <c r="D124" s="43" t="s">
        <v>664</v>
      </c>
      <c r="E124" s="43" t="s">
        <v>144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 t="s">
        <v>48</v>
      </c>
      <c r="AB124" s="10"/>
      <c r="AC124" s="10"/>
      <c r="AD124" s="10"/>
      <c r="AE124" s="10"/>
      <c r="AF124" s="10"/>
      <c r="AG124" s="10"/>
      <c r="AH124" s="10"/>
      <c r="AI124" s="10"/>
      <c r="AJ124" s="73">
        <f t="shared" si="3"/>
        <v>1</v>
      </c>
      <c r="AK124" s="73"/>
      <c r="AL124" s="181"/>
    </row>
    <row r="125" spans="2:38" ht="16.05" customHeight="1" x14ac:dyDescent="0.3">
      <c r="B125" s="109">
        <v>124</v>
      </c>
      <c r="C125" s="10" t="s">
        <v>444</v>
      </c>
      <c r="D125" s="43" t="s">
        <v>301</v>
      </c>
      <c r="E125" s="43" t="s">
        <v>196</v>
      </c>
      <c r="F125" s="10"/>
      <c r="G125" s="10" t="s">
        <v>48</v>
      </c>
      <c r="H125" s="10" t="s">
        <v>48</v>
      </c>
      <c r="I125" s="10" t="s">
        <v>48</v>
      </c>
      <c r="J125" s="10" t="s">
        <v>412</v>
      </c>
      <c r="K125" s="10" t="s">
        <v>48</v>
      </c>
      <c r="L125" s="10"/>
      <c r="M125" s="10" t="s">
        <v>48</v>
      </c>
      <c r="N125" s="10" t="s">
        <v>48</v>
      </c>
      <c r="O125" s="10"/>
      <c r="P125" s="10"/>
      <c r="Q125" s="10"/>
      <c r="R125" s="10" t="s">
        <v>48</v>
      </c>
      <c r="S125" s="10" t="s">
        <v>48</v>
      </c>
      <c r="T125" s="10" t="s">
        <v>48</v>
      </c>
      <c r="U125" s="10" t="s">
        <v>48</v>
      </c>
      <c r="V125" s="10"/>
      <c r="W125" s="10"/>
      <c r="X125" s="10"/>
      <c r="Y125" s="10" t="s">
        <v>48</v>
      </c>
      <c r="Z125" s="10" t="s">
        <v>48</v>
      </c>
      <c r="AA125" s="10" t="s">
        <v>48</v>
      </c>
      <c r="AB125" s="10" t="s">
        <v>48</v>
      </c>
      <c r="AC125" s="10"/>
      <c r="AD125" s="10"/>
      <c r="AE125" s="10" t="s">
        <v>48</v>
      </c>
      <c r="AF125" s="10" t="s">
        <v>48</v>
      </c>
      <c r="AG125" s="10"/>
      <c r="AH125" s="10"/>
      <c r="AI125" s="10" t="s">
        <v>48</v>
      </c>
      <c r="AJ125" s="73">
        <f t="shared" si="3"/>
        <v>19</v>
      </c>
      <c r="AK125" s="73"/>
      <c r="AL125" s="181"/>
    </row>
    <row r="126" spans="2:38" ht="16.05" customHeight="1" x14ac:dyDescent="0.3">
      <c r="B126" s="109">
        <v>125</v>
      </c>
      <c r="C126" s="110" t="s">
        <v>201</v>
      </c>
      <c r="D126" s="42" t="s">
        <v>202</v>
      </c>
      <c r="E126" s="42" t="s">
        <v>117</v>
      </c>
      <c r="F126" s="110" t="s">
        <v>48</v>
      </c>
      <c r="G126" s="110" t="s">
        <v>48</v>
      </c>
      <c r="H126" s="10"/>
      <c r="I126" s="10" t="s">
        <v>48</v>
      </c>
      <c r="J126" s="10" t="s">
        <v>48</v>
      </c>
      <c r="K126" s="10" t="s">
        <v>48</v>
      </c>
      <c r="L126" s="10" t="s">
        <v>48</v>
      </c>
      <c r="M126" s="10"/>
      <c r="N126" s="10" t="s">
        <v>48</v>
      </c>
      <c r="O126" s="10" t="s">
        <v>48</v>
      </c>
      <c r="P126" s="10" t="s">
        <v>48</v>
      </c>
      <c r="Q126" s="10" t="s">
        <v>48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73">
        <f t="shared" si="3"/>
        <v>10</v>
      </c>
      <c r="AK126" s="73"/>
      <c r="AL126" s="181"/>
    </row>
    <row r="127" spans="2:38" ht="16.05" customHeight="1" x14ac:dyDescent="0.3">
      <c r="B127" s="109">
        <v>126</v>
      </c>
      <c r="C127" s="110" t="s">
        <v>47</v>
      </c>
      <c r="D127" s="42" t="s">
        <v>45</v>
      </c>
      <c r="E127" s="42" t="s">
        <v>46</v>
      </c>
      <c r="F127" s="10"/>
      <c r="G127" s="10"/>
      <c r="H127" s="10"/>
      <c r="I127" s="10"/>
      <c r="J127" s="10" t="s">
        <v>48</v>
      </c>
      <c r="K127" s="10" t="s">
        <v>48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73">
        <f t="shared" si="3"/>
        <v>2</v>
      </c>
      <c r="AK127" s="73"/>
      <c r="AL127" s="181"/>
    </row>
    <row r="128" spans="2:38" ht="16.05" customHeight="1" x14ac:dyDescent="0.3">
      <c r="B128" s="109">
        <v>127</v>
      </c>
      <c r="C128" s="10" t="s">
        <v>336</v>
      </c>
      <c r="D128" s="43" t="s">
        <v>335</v>
      </c>
      <c r="E128" s="43" t="s">
        <v>213</v>
      </c>
      <c r="F128" s="10"/>
      <c r="G128" s="10"/>
      <c r="H128" s="10" t="s">
        <v>48</v>
      </c>
      <c r="I128" s="10" t="s">
        <v>48</v>
      </c>
      <c r="J128" s="10"/>
      <c r="K128" s="10" t="s">
        <v>48</v>
      </c>
      <c r="L128" s="10" t="s">
        <v>48</v>
      </c>
      <c r="M128" s="10" t="s">
        <v>48</v>
      </c>
      <c r="N128" s="10" t="s">
        <v>48</v>
      </c>
      <c r="O128" s="10"/>
      <c r="P128" s="10"/>
      <c r="Q128" s="10"/>
      <c r="R128" s="10"/>
      <c r="S128" s="10"/>
      <c r="T128" s="10"/>
      <c r="U128" s="10" t="s">
        <v>48</v>
      </c>
      <c r="V128" s="10" t="s">
        <v>48</v>
      </c>
      <c r="W128" s="10"/>
      <c r="X128" s="10"/>
      <c r="Y128" s="10" t="s">
        <v>48</v>
      </c>
      <c r="Z128" s="10" t="s">
        <v>48</v>
      </c>
      <c r="AA128" s="10" t="s">
        <v>48</v>
      </c>
      <c r="AB128" s="10" t="s">
        <v>48</v>
      </c>
      <c r="AC128" s="10" t="s">
        <v>48</v>
      </c>
      <c r="AD128" s="10" t="s">
        <v>48</v>
      </c>
      <c r="AE128" s="10"/>
      <c r="AF128" s="10" t="s">
        <v>48</v>
      </c>
      <c r="AG128" s="10" t="s">
        <v>48</v>
      </c>
      <c r="AH128" s="10"/>
      <c r="AI128" s="10" t="s">
        <v>48</v>
      </c>
      <c r="AJ128" s="73">
        <f t="shared" si="3"/>
        <v>17</v>
      </c>
      <c r="AK128" s="73"/>
      <c r="AL128" s="181"/>
    </row>
    <row r="129" spans="2:38" ht="16.05" customHeight="1" x14ac:dyDescent="0.3">
      <c r="B129" s="109">
        <v>128</v>
      </c>
      <c r="C129" s="110" t="s">
        <v>349</v>
      </c>
      <c r="D129" s="42" t="s">
        <v>291</v>
      </c>
      <c r="E129" s="42" t="s">
        <v>292</v>
      </c>
      <c r="F129" s="110" t="s">
        <v>48</v>
      </c>
      <c r="G129" s="110" t="s">
        <v>48</v>
      </c>
      <c r="H129" s="110" t="s">
        <v>48</v>
      </c>
      <c r="I129" s="110" t="s">
        <v>48</v>
      </c>
      <c r="J129" s="110" t="s">
        <v>48</v>
      </c>
      <c r="K129" s="110" t="s">
        <v>48</v>
      </c>
      <c r="L129" s="110" t="s">
        <v>48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 t="s">
        <v>48</v>
      </c>
      <c r="X129" s="10" t="s">
        <v>48</v>
      </c>
      <c r="Y129" s="10" t="s">
        <v>48</v>
      </c>
      <c r="Z129" s="10" t="s">
        <v>48</v>
      </c>
      <c r="AA129" s="10"/>
      <c r="AB129" s="10" t="s">
        <v>48</v>
      </c>
      <c r="AC129" s="10" t="s">
        <v>48</v>
      </c>
      <c r="AD129" s="10"/>
      <c r="AE129" s="10"/>
      <c r="AF129" s="10"/>
      <c r="AG129" s="10"/>
      <c r="AH129" s="10"/>
      <c r="AI129" s="10" t="s">
        <v>48</v>
      </c>
      <c r="AJ129" s="73">
        <f t="shared" si="3"/>
        <v>14</v>
      </c>
      <c r="AK129" s="73"/>
      <c r="AL129" s="181"/>
    </row>
    <row r="130" spans="2:38" ht="16.05" customHeight="1" x14ac:dyDescent="0.3">
      <c r="B130" s="109">
        <v>129</v>
      </c>
      <c r="C130" s="10" t="s">
        <v>695</v>
      </c>
      <c r="D130" s="43" t="s">
        <v>239</v>
      </c>
      <c r="E130" s="43" t="s">
        <v>240</v>
      </c>
      <c r="F130" s="10" t="s">
        <v>48</v>
      </c>
      <c r="G130" s="10" t="s">
        <v>48</v>
      </c>
      <c r="H130" s="10" t="s">
        <v>48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73">
        <f t="shared" si="3"/>
        <v>3</v>
      </c>
      <c r="AK130" s="73"/>
      <c r="AL130" s="181"/>
    </row>
    <row r="131" spans="2:38" ht="16.05" customHeight="1" x14ac:dyDescent="0.3">
      <c r="B131" s="109">
        <v>130</v>
      </c>
      <c r="C131" s="110" t="s">
        <v>411</v>
      </c>
      <c r="D131" s="42" t="s">
        <v>221</v>
      </c>
      <c r="E131" s="42" t="s">
        <v>222</v>
      </c>
      <c r="F131" s="110" t="s">
        <v>48</v>
      </c>
      <c r="G131" s="110" t="s">
        <v>48</v>
      </c>
      <c r="H131" s="110" t="s">
        <v>412</v>
      </c>
      <c r="I131" s="110" t="s">
        <v>48</v>
      </c>
      <c r="J131" s="10"/>
      <c r="K131" s="10"/>
      <c r="L131" s="10" t="s">
        <v>48</v>
      </c>
      <c r="M131" s="10" t="s">
        <v>48</v>
      </c>
      <c r="N131" s="10"/>
      <c r="O131" s="10"/>
      <c r="P131" s="10"/>
      <c r="Q131" s="10" t="s">
        <v>48</v>
      </c>
      <c r="R131" s="10" t="s">
        <v>412</v>
      </c>
      <c r="S131" s="10" t="s">
        <v>48</v>
      </c>
      <c r="T131" s="10" t="s">
        <v>48</v>
      </c>
      <c r="U131" s="10" t="s">
        <v>48</v>
      </c>
      <c r="V131" s="10"/>
      <c r="W131" s="10"/>
      <c r="X131" s="10"/>
      <c r="Y131" s="10" t="s">
        <v>48</v>
      </c>
      <c r="Z131" s="10" t="s">
        <v>48</v>
      </c>
      <c r="AA131" s="10" t="s">
        <v>48</v>
      </c>
      <c r="AB131" s="10" t="s">
        <v>48</v>
      </c>
      <c r="AC131" s="10"/>
      <c r="AD131" s="10"/>
      <c r="AE131" s="10"/>
      <c r="AF131" s="10"/>
      <c r="AG131" s="10"/>
      <c r="AH131" s="10"/>
      <c r="AI131" s="10"/>
      <c r="AJ131" s="73">
        <f t="shared" si="3"/>
        <v>17</v>
      </c>
      <c r="AK131" s="73"/>
      <c r="AL131" s="181"/>
    </row>
    <row r="132" spans="2:38" ht="16.05" customHeight="1" x14ac:dyDescent="0.3">
      <c r="B132" s="109">
        <v>131</v>
      </c>
      <c r="C132" s="10" t="s">
        <v>289</v>
      </c>
      <c r="D132" s="43" t="s">
        <v>229</v>
      </c>
      <c r="E132" s="43" t="s">
        <v>45</v>
      </c>
      <c r="F132" s="10" t="s">
        <v>48</v>
      </c>
      <c r="G132" s="10" t="s">
        <v>48</v>
      </c>
      <c r="H132" s="10" t="s">
        <v>48</v>
      </c>
      <c r="I132" s="10" t="s">
        <v>48</v>
      </c>
      <c r="J132" s="10" t="s">
        <v>48</v>
      </c>
      <c r="K132" s="10"/>
      <c r="L132" s="10" t="s">
        <v>48</v>
      </c>
      <c r="M132" s="10" t="s">
        <v>48</v>
      </c>
      <c r="N132" s="10" t="s">
        <v>48</v>
      </c>
      <c r="O132" s="10" t="s">
        <v>48</v>
      </c>
      <c r="P132" s="10" t="s">
        <v>48</v>
      </c>
      <c r="Q132" s="10" t="s">
        <v>48</v>
      </c>
      <c r="R132" s="10" t="s">
        <v>48</v>
      </c>
      <c r="S132" s="10" t="s">
        <v>48</v>
      </c>
      <c r="T132" s="10" t="s">
        <v>48</v>
      </c>
      <c r="U132" s="10" t="s">
        <v>48</v>
      </c>
      <c r="V132" s="10" t="s">
        <v>48</v>
      </c>
      <c r="W132" s="10" t="s">
        <v>48</v>
      </c>
      <c r="X132" s="10" t="s">
        <v>48</v>
      </c>
      <c r="Y132" s="10" t="s">
        <v>48</v>
      </c>
      <c r="Z132" s="10" t="s">
        <v>48</v>
      </c>
      <c r="AA132" s="10" t="s">
        <v>48</v>
      </c>
      <c r="AB132" s="10" t="s">
        <v>48</v>
      </c>
      <c r="AC132" s="10" t="s">
        <v>48</v>
      </c>
      <c r="AD132" s="10" t="s">
        <v>48</v>
      </c>
      <c r="AE132" s="10" t="s">
        <v>48</v>
      </c>
      <c r="AF132" s="10" t="s">
        <v>48</v>
      </c>
      <c r="AG132" s="10" t="s">
        <v>48</v>
      </c>
      <c r="AH132" s="10"/>
      <c r="AI132" s="10"/>
      <c r="AJ132" s="73">
        <f t="shared" si="3"/>
        <v>27</v>
      </c>
      <c r="AK132" s="73"/>
      <c r="AL132" s="181"/>
    </row>
    <row r="133" spans="2:38" ht="16.05" customHeight="1" x14ac:dyDescent="0.3">
      <c r="B133" s="109">
        <v>132</v>
      </c>
      <c r="C133" s="110" t="s">
        <v>295</v>
      </c>
      <c r="D133" s="42" t="s">
        <v>293</v>
      </c>
      <c r="E133" s="42" t="s">
        <v>294</v>
      </c>
      <c r="F133" s="10"/>
      <c r="G133" s="10"/>
      <c r="H133" s="10"/>
      <c r="I133" s="10" t="s">
        <v>48</v>
      </c>
      <c r="J133" s="10" t="s">
        <v>48</v>
      </c>
      <c r="K133" s="10" t="s">
        <v>48</v>
      </c>
      <c r="L133" s="10" t="s">
        <v>48</v>
      </c>
      <c r="M133" s="10" t="s">
        <v>48</v>
      </c>
      <c r="N133" s="10" t="s">
        <v>48</v>
      </c>
      <c r="O133" s="10"/>
      <c r="P133" s="10" t="s">
        <v>48</v>
      </c>
      <c r="Q133" s="10" t="s">
        <v>48</v>
      </c>
      <c r="R133" s="10" t="s">
        <v>48</v>
      </c>
      <c r="S133" s="10" t="s">
        <v>48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73">
        <f t="shared" si="3"/>
        <v>10</v>
      </c>
      <c r="AK133" s="73"/>
      <c r="AL133" s="181"/>
    </row>
    <row r="134" spans="2:38" ht="16.05" customHeight="1" x14ac:dyDescent="0.3">
      <c r="B134" s="109">
        <v>133</v>
      </c>
      <c r="C134" s="10" t="s">
        <v>298</v>
      </c>
      <c r="D134" s="43" t="s">
        <v>296</v>
      </c>
      <c r="E134" s="43" t="s">
        <v>297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 t="s">
        <v>48</v>
      </c>
      <c r="Q134" s="10" t="s">
        <v>48</v>
      </c>
      <c r="R134" s="10" t="s">
        <v>48</v>
      </c>
      <c r="S134" s="10" t="s">
        <v>48</v>
      </c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73">
        <f t="shared" si="3"/>
        <v>4</v>
      </c>
      <c r="AK134" s="73"/>
      <c r="AL134" s="181"/>
    </row>
    <row r="135" spans="2:38" ht="16.05" customHeight="1" x14ac:dyDescent="0.3">
      <c r="B135" s="109">
        <v>134</v>
      </c>
      <c r="C135" s="110" t="s">
        <v>311</v>
      </c>
      <c r="D135" s="42" t="s">
        <v>309</v>
      </c>
      <c r="E135" s="42" t="s">
        <v>310</v>
      </c>
      <c r="F135" s="110" t="s">
        <v>48</v>
      </c>
      <c r="G135" s="110" t="s">
        <v>48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 t="s">
        <v>48</v>
      </c>
      <c r="AD135" s="10" t="s">
        <v>48</v>
      </c>
      <c r="AE135" s="10" t="s">
        <v>48</v>
      </c>
      <c r="AF135" s="10"/>
      <c r="AG135" s="10"/>
      <c r="AH135" s="10"/>
      <c r="AI135" s="10"/>
      <c r="AJ135" s="73">
        <f t="shared" si="3"/>
        <v>5</v>
      </c>
      <c r="AK135" s="73"/>
      <c r="AL135" s="181"/>
    </row>
    <row r="136" spans="2:38" ht="16.05" customHeight="1" x14ac:dyDescent="0.3">
      <c r="B136" s="109">
        <v>135</v>
      </c>
      <c r="C136" s="110" t="s">
        <v>348</v>
      </c>
      <c r="D136" s="42" t="s">
        <v>346</v>
      </c>
      <c r="E136" s="42" t="s">
        <v>347</v>
      </c>
      <c r="F136" s="110" t="s">
        <v>48</v>
      </c>
      <c r="G136" s="110" t="s">
        <v>48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73">
        <f t="shared" si="3"/>
        <v>2</v>
      </c>
      <c r="AK136" s="73"/>
      <c r="AL136" s="181"/>
    </row>
    <row r="137" spans="2:38" ht="16.05" customHeight="1" x14ac:dyDescent="0.3">
      <c r="B137" s="109">
        <v>136</v>
      </c>
      <c r="C137" s="10" t="s">
        <v>527</v>
      </c>
      <c r="D137" s="43" t="s">
        <v>259</v>
      </c>
      <c r="E137" s="43" t="s">
        <v>213</v>
      </c>
      <c r="F137" s="10"/>
      <c r="G137" s="10"/>
      <c r="H137" s="10" t="s">
        <v>48</v>
      </c>
      <c r="I137" s="10" t="s">
        <v>48</v>
      </c>
      <c r="J137" s="10" t="s">
        <v>48</v>
      </c>
      <c r="K137" s="10" t="s">
        <v>48</v>
      </c>
      <c r="L137" s="10" t="s">
        <v>48</v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73">
        <f t="shared" si="3"/>
        <v>5</v>
      </c>
      <c r="AK137" s="73"/>
      <c r="AL137" s="181"/>
    </row>
    <row r="138" spans="2:38" ht="16.05" customHeight="1" x14ac:dyDescent="0.3">
      <c r="B138" s="109">
        <v>137</v>
      </c>
      <c r="C138" s="110" t="s">
        <v>618</v>
      </c>
      <c r="D138" s="42" t="s">
        <v>497</v>
      </c>
      <c r="E138" s="42" t="s">
        <v>369</v>
      </c>
      <c r="F138" s="110" t="s">
        <v>48</v>
      </c>
      <c r="G138" s="110" t="s">
        <v>48</v>
      </c>
      <c r="H138" s="110" t="s">
        <v>48</v>
      </c>
      <c r="I138" s="110" t="s">
        <v>48</v>
      </c>
      <c r="J138" s="110" t="s">
        <v>48</v>
      </c>
      <c r="K138" s="10"/>
      <c r="L138" s="10"/>
      <c r="M138" s="10"/>
      <c r="N138" s="10"/>
      <c r="O138" s="10"/>
      <c r="P138" s="10"/>
      <c r="Q138" s="10"/>
      <c r="R138" s="10"/>
      <c r="S138" s="10" t="s">
        <v>48</v>
      </c>
      <c r="T138" s="10" t="s">
        <v>48</v>
      </c>
      <c r="U138" s="10" t="s">
        <v>48</v>
      </c>
      <c r="V138" s="10" t="s">
        <v>48</v>
      </c>
      <c r="W138" s="10" t="s">
        <v>48</v>
      </c>
      <c r="X138" s="10" t="s">
        <v>48</v>
      </c>
      <c r="Y138" s="10" t="s">
        <v>48</v>
      </c>
      <c r="Z138" s="10" t="s">
        <v>48</v>
      </c>
      <c r="AA138" s="10" t="s">
        <v>48</v>
      </c>
      <c r="AB138" s="10" t="s">
        <v>48</v>
      </c>
      <c r="AC138" s="10"/>
      <c r="AD138" s="10" t="s">
        <v>48</v>
      </c>
      <c r="AE138" s="10" t="s">
        <v>48</v>
      </c>
      <c r="AF138" s="10" t="s">
        <v>48</v>
      </c>
      <c r="AG138" s="10" t="s">
        <v>48</v>
      </c>
      <c r="AH138" s="10"/>
      <c r="AI138" s="10" t="s">
        <v>48</v>
      </c>
      <c r="AJ138" s="73">
        <f t="shared" si="3"/>
        <v>20</v>
      </c>
      <c r="AK138" s="73"/>
      <c r="AL138" s="181"/>
    </row>
    <row r="139" spans="2:38" ht="16.05" customHeight="1" x14ac:dyDescent="0.3">
      <c r="B139" s="109">
        <v>138</v>
      </c>
      <c r="C139" s="10" t="s">
        <v>458</v>
      </c>
      <c r="D139" s="43" t="s">
        <v>165</v>
      </c>
      <c r="E139" s="43" t="s">
        <v>166</v>
      </c>
      <c r="F139" s="10"/>
      <c r="G139" s="10"/>
      <c r="H139" s="10"/>
      <c r="I139" s="10"/>
      <c r="J139" s="10" t="s">
        <v>48</v>
      </c>
      <c r="K139" s="10" t="s">
        <v>48</v>
      </c>
      <c r="L139" s="10" t="s">
        <v>48</v>
      </c>
      <c r="M139" s="10" t="s">
        <v>48</v>
      </c>
      <c r="N139" s="10"/>
      <c r="O139" s="10" t="s">
        <v>48</v>
      </c>
      <c r="P139" s="10" t="s">
        <v>48</v>
      </c>
      <c r="Q139" s="10" t="s">
        <v>48</v>
      </c>
      <c r="R139" s="10" t="s">
        <v>48</v>
      </c>
      <c r="S139" s="10" t="s">
        <v>48</v>
      </c>
      <c r="T139" s="10" t="s">
        <v>48</v>
      </c>
      <c r="U139" s="10" t="s">
        <v>48</v>
      </c>
      <c r="V139" s="10" t="s">
        <v>48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73">
        <f t="shared" si="3"/>
        <v>12</v>
      </c>
      <c r="AK139" s="73"/>
      <c r="AL139" s="181"/>
    </row>
    <row r="140" spans="2:38" ht="16.05" customHeight="1" x14ac:dyDescent="0.3">
      <c r="B140" s="109">
        <v>139</v>
      </c>
      <c r="C140" s="110" t="s">
        <v>462</v>
      </c>
      <c r="D140" s="42" t="s">
        <v>696</v>
      </c>
      <c r="E140" s="42" t="s">
        <v>376</v>
      </c>
      <c r="F140" s="110" t="s">
        <v>48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73">
        <f t="shared" si="3"/>
        <v>1</v>
      </c>
      <c r="AK140" s="73"/>
      <c r="AL140" s="181"/>
    </row>
    <row r="141" spans="2:38" ht="16.05" customHeight="1" x14ac:dyDescent="0.3">
      <c r="B141" s="109">
        <v>140</v>
      </c>
      <c r="C141" s="10" t="s">
        <v>461</v>
      </c>
      <c r="D141" s="43" t="s">
        <v>373</v>
      </c>
      <c r="E141" s="43" t="s">
        <v>374</v>
      </c>
      <c r="F141" s="10" t="s">
        <v>48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73">
        <f t="shared" si="3"/>
        <v>1</v>
      </c>
      <c r="AK141" s="73"/>
      <c r="AL141" s="181"/>
    </row>
    <row r="142" spans="2:38" ht="16.05" customHeight="1" x14ac:dyDescent="0.3">
      <c r="B142" s="109">
        <v>141</v>
      </c>
      <c r="C142" s="110" t="s">
        <v>460</v>
      </c>
      <c r="D142" s="42" t="s">
        <v>91</v>
      </c>
      <c r="E142" s="42" t="s">
        <v>631</v>
      </c>
      <c r="F142" s="110" t="s">
        <v>48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73">
        <f t="shared" si="3"/>
        <v>1</v>
      </c>
      <c r="AK142" s="73"/>
      <c r="AL142" s="181"/>
    </row>
    <row r="143" spans="2:38" ht="16.05" customHeight="1" x14ac:dyDescent="0.3">
      <c r="B143" s="109">
        <v>142</v>
      </c>
      <c r="C143" s="10" t="s">
        <v>459</v>
      </c>
      <c r="D143" s="43" t="s">
        <v>617</v>
      </c>
      <c r="E143" s="43" t="s">
        <v>371</v>
      </c>
      <c r="F143" s="10" t="s">
        <v>48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 t="s">
        <v>48</v>
      </c>
      <c r="T143" s="10" t="s">
        <v>48</v>
      </c>
      <c r="U143" s="10" t="s">
        <v>48</v>
      </c>
      <c r="V143" s="10" t="s">
        <v>48</v>
      </c>
      <c r="W143" s="10" t="s">
        <v>48</v>
      </c>
      <c r="X143" s="10" t="s">
        <v>48</v>
      </c>
      <c r="Y143" s="10" t="s">
        <v>48</v>
      </c>
      <c r="Z143" s="10" t="s">
        <v>48</v>
      </c>
      <c r="AA143" s="10"/>
      <c r="AB143" s="10"/>
      <c r="AC143" s="10"/>
      <c r="AD143" s="10"/>
      <c r="AE143" s="10" t="s">
        <v>48</v>
      </c>
      <c r="AF143" s="10" t="s">
        <v>48</v>
      </c>
      <c r="AG143" s="10" t="s">
        <v>48</v>
      </c>
      <c r="AH143" s="10" t="s">
        <v>48</v>
      </c>
      <c r="AI143" s="10"/>
      <c r="AJ143" s="73">
        <f t="shared" si="3"/>
        <v>13</v>
      </c>
      <c r="AK143" s="73"/>
      <c r="AL143" s="181"/>
    </row>
    <row r="144" spans="2:38" ht="16.05" customHeight="1" x14ac:dyDescent="0.3">
      <c r="B144" s="109">
        <v>143</v>
      </c>
      <c r="C144" s="110" t="s">
        <v>457</v>
      </c>
      <c r="D144" s="42" t="s">
        <v>697</v>
      </c>
      <c r="E144" s="42" t="s">
        <v>247</v>
      </c>
      <c r="F144" s="110" t="s">
        <v>48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73">
        <f t="shared" si="3"/>
        <v>1</v>
      </c>
      <c r="AK144" s="73"/>
      <c r="AL144" s="181"/>
    </row>
    <row r="145" spans="2:38" ht="16.05" customHeight="1" x14ac:dyDescent="0.3">
      <c r="B145" s="109">
        <v>144</v>
      </c>
      <c r="C145" s="10" t="s">
        <v>453</v>
      </c>
      <c r="D145" s="43" t="s">
        <v>615</v>
      </c>
      <c r="E145" s="43" t="s">
        <v>616</v>
      </c>
      <c r="F145" s="10" t="s">
        <v>48</v>
      </c>
      <c r="G145" s="10" t="s">
        <v>782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 t="s">
        <v>48</v>
      </c>
      <c r="T145" s="10" t="s">
        <v>48</v>
      </c>
      <c r="U145" s="10" t="s">
        <v>48</v>
      </c>
      <c r="V145" s="10" t="s">
        <v>48</v>
      </c>
      <c r="W145" s="10" t="s">
        <v>48</v>
      </c>
      <c r="X145" s="10" t="s">
        <v>48</v>
      </c>
      <c r="Y145" s="10" t="s">
        <v>48</v>
      </c>
      <c r="Z145" s="10" t="s">
        <v>48</v>
      </c>
      <c r="AA145" s="10"/>
      <c r="AB145" s="10"/>
      <c r="AC145" s="10"/>
      <c r="AD145" s="10"/>
      <c r="AE145" s="10"/>
      <c r="AF145" s="10"/>
      <c r="AG145" s="10" t="s">
        <v>48</v>
      </c>
      <c r="AH145" s="10" t="s">
        <v>48</v>
      </c>
      <c r="AI145" s="10" t="s">
        <v>48</v>
      </c>
      <c r="AJ145" s="73">
        <f t="shared" si="3"/>
        <v>12</v>
      </c>
      <c r="AK145" s="73"/>
      <c r="AL145" s="181"/>
    </row>
    <row r="146" spans="2:38" ht="16.05" customHeight="1" x14ac:dyDescent="0.3">
      <c r="B146" s="109">
        <v>145</v>
      </c>
      <c r="C146" s="110" t="s">
        <v>456</v>
      </c>
      <c r="D146" s="42" t="s">
        <v>428</v>
      </c>
      <c r="E146" s="42" t="s">
        <v>218</v>
      </c>
      <c r="F146" s="110" t="s">
        <v>412</v>
      </c>
      <c r="G146" s="110" t="s">
        <v>48</v>
      </c>
      <c r="H146" s="110" t="s">
        <v>48</v>
      </c>
      <c r="I146" s="110" t="s">
        <v>48</v>
      </c>
      <c r="J146" s="110" t="s">
        <v>48</v>
      </c>
      <c r="K146" s="10"/>
      <c r="L146" s="10"/>
      <c r="M146" s="110" t="s">
        <v>48</v>
      </c>
      <c r="N146" s="110" t="s">
        <v>48</v>
      </c>
      <c r="O146" s="110" t="s">
        <v>48</v>
      </c>
      <c r="P146" s="110" t="s">
        <v>48</v>
      </c>
      <c r="Q146" s="110" t="s">
        <v>48</v>
      </c>
      <c r="R146" s="110" t="s">
        <v>48</v>
      </c>
      <c r="S146" s="110" t="s">
        <v>48</v>
      </c>
      <c r="T146" s="110" t="s">
        <v>48</v>
      </c>
      <c r="U146" s="10"/>
      <c r="V146" s="110" t="s">
        <v>48</v>
      </c>
      <c r="W146" s="10"/>
      <c r="X146" s="10"/>
      <c r="Y146" s="10" t="s">
        <v>48</v>
      </c>
      <c r="Z146" s="10" t="s">
        <v>48</v>
      </c>
      <c r="AA146" s="10" t="s">
        <v>48</v>
      </c>
      <c r="AB146" s="10" t="s">
        <v>48</v>
      </c>
      <c r="AC146" s="10"/>
      <c r="AD146" s="10" t="s">
        <v>48</v>
      </c>
      <c r="AE146" s="10" t="s">
        <v>48</v>
      </c>
      <c r="AF146" s="10" t="s">
        <v>48</v>
      </c>
      <c r="AG146" s="10" t="s">
        <v>48</v>
      </c>
      <c r="AH146" s="10"/>
      <c r="AI146" s="10"/>
      <c r="AJ146" s="73">
        <f t="shared" si="3"/>
        <v>23</v>
      </c>
      <c r="AK146" s="73"/>
      <c r="AL146" s="181"/>
    </row>
    <row r="147" spans="2:38" ht="16.05" customHeight="1" x14ac:dyDescent="0.3">
      <c r="B147" s="109">
        <v>146</v>
      </c>
      <c r="C147" s="10" t="s">
        <v>463</v>
      </c>
      <c r="D147" s="43" t="s">
        <v>365</v>
      </c>
      <c r="E147" s="43" t="s">
        <v>366</v>
      </c>
      <c r="F147" s="10"/>
      <c r="G147" s="10" t="s">
        <v>48</v>
      </c>
      <c r="H147" s="10" t="s">
        <v>48</v>
      </c>
      <c r="I147" s="10" t="s">
        <v>48</v>
      </c>
      <c r="J147" s="10" t="s">
        <v>48</v>
      </c>
      <c r="K147" s="10" t="s">
        <v>48</v>
      </c>
      <c r="L147" s="10" t="s">
        <v>48</v>
      </c>
      <c r="M147" s="10" t="s">
        <v>48</v>
      </c>
      <c r="N147" s="10" t="s">
        <v>48</v>
      </c>
      <c r="O147" s="10" t="s">
        <v>48</v>
      </c>
      <c r="P147" s="10" t="s">
        <v>48</v>
      </c>
      <c r="Q147" s="10" t="s">
        <v>48</v>
      </c>
      <c r="R147" s="10" t="s">
        <v>48</v>
      </c>
      <c r="S147" s="10" t="s">
        <v>48</v>
      </c>
      <c r="T147" s="10" t="s">
        <v>48</v>
      </c>
      <c r="U147" s="10"/>
      <c r="V147" s="10" t="s">
        <v>48</v>
      </c>
      <c r="W147" s="10" t="s">
        <v>48</v>
      </c>
      <c r="X147" s="10" t="s">
        <v>48</v>
      </c>
      <c r="Y147" s="10" t="s">
        <v>48</v>
      </c>
      <c r="Z147" s="10"/>
      <c r="AA147" s="10" t="s">
        <v>48</v>
      </c>
      <c r="AB147" s="10" t="s">
        <v>48</v>
      </c>
      <c r="AC147" s="10" t="s">
        <v>48</v>
      </c>
      <c r="AD147" s="10" t="s">
        <v>48</v>
      </c>
      <c r="AE147" s="10"/>
      <c r="AF147" s="10" t="s">
        <v>48</v>
      </c>
      <c r="AG147" s="10" t="s">
        <v>48</v>
      </c>
      <c r="AH147" s="10" t="s">
        <v>48</v>
      </c>
      <c r="AI147" s="10" t="s">
        <v>48</v>
      </c>
      <c r="AJ147" s="73">
        <f t="shared" si="3"/>
        <v>26</v>
      </c>
      <c r="AK147" s="73"/>
      <c r="AL147" s="181"/>
    </row>
    <row r="148" spans="2:38" ht="16.05" customHeight="1" x14ac:dyDescent="0.3">
      <c r="B148" s="109">
        <v>147</v>
      </c>
      <c r="C148" s="110" t="s">
        <v>550</v>
      </c>
      <c r="D148" s="42" t="s">
        <v>368</v>
      </c>
      <c r="E148" s="42" t="s">
        <v>369</v>
      </c>
      <c r="F148" s="10"/>
      <c r="G148" s="10"/>
      <c r="H148" s="10"/>
      <c r="I148" s="10"/>
      <c r="J148" s="10"/>
      <c r="K148" s="10"/>
      <c r="L148" s="10" t="s">
        <v>48</v>
      </c>
      <c r="M148" s="10" t="s">
        <v>48</v>
      </c>
      <c r="N148" s="10" t="s">
        <v>48</v>
      </c>
      <c r="O148" s="10" t="s">
        <v>48</v>
      </c>
      <c r="P148" s="10" t="s">
        <v>48</v>
      </c>
      <c r="Q148" s="10" t="s">
        <v>48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73">
        <f t="shared" si="3"/>
        <v>6</v>
      </c>
      <c r="AK148" s="73"/>
      <c r="AL148" s="181"/>
    </row>
    <row r="149" spans="2:38" ht="16.05" customHeight="1" x14ac:dyDescent="0.3">
      <c r="B149" s="109">
        <v>148</v>
      </c>
      <c r="C149" s="10" t="s">
        <v>455</v>
      </c>
      <c r="D149" s="43" t="s">
        <v>698</v>
      </c>
      <c r="E149" s="43" t="s">
        <v>699</v>
      </c>
      <c r="F149" s="10" t="s">
        <v>48</v>
      </c>
      <c r="G149" s="10" t="s">
        <v>48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 t="s">
        <v>48</v>
      </c>
      <c r="AD149" s="10" t="s">
        <v>48</v>
      </c>
      <c r="AE149" s="10" t="s">
        <v>48</v>
      </c>
      <c r="AF149" s="10"/>
      <c r="AG149" s="10"/>
      <c r="AH149" s="10"/>
      <c r="AI149" s="10"/>
      <c r="AJ149" s="73">
        <f t="shared" si="3"/>
        <v>5</v>
      </c>
      <c r="AK149" s="73"/>
      <c r="AL149" s="181"/>
    </row>
    <row r="150" spans="2:38" ht="16.05" customHeight="1" x14ac:dyDescent="0.3">
      <c r="B150" s="109">
        <v>149</v>
      </c>
      <c r="C150" s="110" t="s">
        <v>509</v>
      </c>
      <c r="D150" s="42" t="s">
        <v>507</v>
      </c>
      <c r="E150" s="42" t="s">
        <v>508</v>
      </c>
      <c r="F150" s="110" t="s">
        <v>48</v>
      </c>
      <c r="G150" s="110" t="s">
        <v>48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73">
        <f t="shared" si="3"/>
        <v>2</v>
      </c>
      <c r="AK150" s="73"/>
      <c r="AL150" s="181"/>
    </row>
    <row r="151" spans="2:38" ht="16.05" customHeight="1" x14ac:dyDescent="0.3">
      <c r="B151" s="109">
        <v>150</v>
      </c>
      <c r="C151" s="10" t="s">
        <v>496</v>
      </c>
      <c r="D151" s="43" t="s">
        <v>495</v>
      </c>
      <c r="E151" s="43" t="s">
        <v>209</v>
      </c>
      <c r="F151" s="10" t="s">
        <v>48</v>
      </c>
      <c r="G151" s="10" t="s">
        <v>48</v>
      </c>
      <c r="H151" s="10" t="s">
        <v>48</v>
      </c>
      <c r="I151" s="10" t="s">
        <v>48</v>
      </c>
      <c r="J151" s="10"/>
      <c r="K151" s="10" t="s">
        <v>48</v>
      </c>
      <c r="L151" s="10" t="s">
        <v>48</v>
      </c>
      <c r="M151" s="10" t="s">
        <v>48</v>
      </c>
      <c r="N151" s="10" t="s">
        <v>48</v>
      </c>
      <c r="O151" s="10" t="s">
        <v>48</v>
      </c>
      <c r="P151" s="10" t="s">
        <v>48</v>
      </c>
      <c r="Q151" s="10"/>
      <c r="R151" s="10" t="s">
        <v>48</v>
      </c>
      <c r="S151" s="10" t="s">
        <v>48</v>
      </c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73">
        <f t="shared" si="3"/>
        <v>12</v>
      </c>
      <c r="AK151" s="73"/>
      <c r="AL151" s="181"/>
    </row>
    <row r="152" spans="2:38" ht="16.05" customHeight="1" x14ac:dyDescent="0.3">
      <c r="B152" s="109">
        <v>151</v>
      </c>
      <c r="C152" s="110" t="s">
        <v>454</v>
      </c>
      <c r="D152" s="42" t="s">
        <v>596</v>
      </c>
      <c r="E152" s="42" t="s">
        <v>385</v>
      </c>
      <c r="F152" s="110" t="s">
        <v>48</v>
      </c>
      <c r="G152" s="110" t="s">
        <v>48</v>
      </c>
      <c r="H152" s="10"/>
      <c r="I152" s="10"/>
      <c r="J152" s="10"/>
      <c r="K152" s="10"/>
      <c r="L152" s="10"/>
      <c r="M152" s="10"/>
      <c r="N152" s="10"/>
      <c r="O152" s="10"/>
      <c r="P152" s="10" t="s">
        <v>48</v>
      </c>
      <c r="Q152" s="10" t="s">
        <v>48</v>
      </c>
      <c r="R152" s="10" t="s">
        <v>48</v>
      </c>
      <c r="S152" s="10" t="s">
        <v>48</v>
      </c>
      <c r="T152" s="10" t="s">
        <v>48</v>
      </c>
      <c r="U152" s="10" t="s">
        <v>48</v>
      </c>
      <c r="V152" s="10" t="s">
        <v>48</v>
      </c>
      <c r="W152" s="10" t="s">
        <v>48</v>
      </c>
      <c r="X152" s="10" t="s">
        <v>48</v>
      </c>
      <c r="Y152" s="10" t="s">
        <v>48</v>
      </c>
      <c r="Z152" s="10"/>
      <c r="AA152" s="10" t="s">
        <v>48</v>
      </c>
      <c r="AB152" s="10" t="s">
        <v>48</v>
      </c>
      <c r="AC152" s="10" t="s">
        <v>48</v>
      </c>
      <c r="AD152" s="10" t="s">
        <v>48</v>
      </c>
      <c r="AE152" s="10" t="s">
        <v>48</v>
      </c>
      <c r="AF152" s="10" t="s">
        <v>48</v>
      </c>
      <c r="AG152" s="10"/>
      <c r="AH152" s="10" t="s">
        <v>48</v>
      </c>
      <c r="AI152" s="10" t="s">
        <v>48</v>
      </c>
      <c r="AJ152" s="73">
        <f t="shared" si="3"/>
        <v>20</v>
      </c>
      <c r="AK152" s="73"/>
      <c r="AL152" s="181"/>
    </row>
    <row r="153" spans="2:38" ht="16.05" customHeight="1" x14ac:dyDescent="0.3">
      <c r="B153" s="109">
        <v>152</v>
      </c>
      <c r="C153" s="10" t="s">
        <v>501</v>
      </c>
      <c r="D153" s="43" t="s">
        <v>499</v>
      </c>
      <c r="E153" s="43" t="s">
        <v>500</v>
      </c>
      <c r="F153" s="10" t="s">
        <v>48</v>
      </c>
      <c r="G153" s="10" t="s">
        <v>48</v>
      </c>
      <c r="H153" s="10"/>
      <c r="I153" s="10"/>
      <c r="J153" s="10"/>
      <c r="K153" s="10"/>
      <c r="L153" s="10"/>
      <c r="M153" s="10"/>
      <c r="N153" s="10" t="s">
        <v>48</v>
      </c>
      <c r="O153" s="10" t="s">
        <v>48</v>
      </c>
      <c r="P153" s="10" t="s">
        <v>48</v>
      </c>
      <c r="Q153" s="10" t="s">
        <v>48</v>
      </c>
      <c r="R153" s="10" t="s">
        <v>48</v>
      </c>
      <c r="S153" s="10" t="s">
        <v>48</v>
      </c>
      <c r="T153" s="10" t="s">
        <v>48</v>
      </c>
      <c r="U153" s="10" t="s">
        <v>48</v>
      </c>
      <c r="V153" s="10" t="s">
        <v>48</v>
      </c>
      <c r="W153" s="10" t="s">
        <v>48</v>
      </c>
      <c r="X153" s="10" t="s">
        <v>48</v>
      </c>
      <c r="Y153" s="10" t="s">
        <v>48</v>
      </c>
      <c r="Z153" s="10" t="s">
        <v>48</v>
      </c>
      <c r="AA153" s="10" t="s">
        <v>48</v>
      </c>
      <c r="AB153" s="10" t="s">
        <v>48</v>
      </c>
      <c r="AC153" s="10" t="s">
        <v>48</v>
      </c>
      <c r="AD153" s="10"/>
      <c r="AE153" s="10"/>
      <c r="AF153" s="10"/>
      <c r="AG153" s="10"/>
      <c r="AH153" s="10"/>
      <c r="AI153" s="10"/>
      <c r="AJ153" s="73">
        <f t="shared" si="3"/>
        <v>18</v>
      </c>
      <c r="AK153" s="73"/>
      <c r="AL153" s="181"/>
    </row>
    <row r="154" spans="2:38" ht="16.05" customHeight="1" x14ac:dyDescent="0.3">
      <c r="B154" s="109">
        <v>153</v>
      </c>
      <c r="C154" s="110" t="s">
        <v>504</v>
      </c>
      <c r="D154" s="42" t="s">
        <v>502</v>
      </c>
      <c r="E154" s="42" t="s">
        <v>503</v>
      </c>
      <c r="F154" s="110" t="s">
        <v>48</v>
      </c>
      <c r="G154" s="110" t="s">
        <v>48</v>
      </c>
      <c r="H154" s="110"/>
      <c r="I154" s="10"/>
      <c r="J154" s="10"/>
      <c r="K154" s="10"/>
      <c r="L154" s="10"/>
      <c r="M154" s="10"/>
      <c r="N154" s="10" t="s">
        <v>48</v>
      </c>
      <c r="O154" s="10" t="s">
        <v>48</v>
      </c>
      <c r="P154" s="10" t="s">
        <v>48</v>
      </c>
      <c r="Q154" s="10" t="s">
        <v>48</v>
      </c>
      <c r="R154" s="10" t="s">
        <v>48</v>
      </c>
      <c r="S154" s="10" t="s">
        <v>48</v>
      </c>
      <c r="T154" s="10" t="s">
        <v>48</v>
      </c>
      <c r="U154" s="10" t="s">
        <v>48</v>
      </c>
      <c r="V154" s="10" t="s">
        <v>48</v>
      </c>
      <c r="W154" s="10" t="s">
        <v>48</v>
      </c>
      <c r="X154" s="10" t="s">
        <v>48</v>
      </c>
      <c r="Y154" s="10" t="s">
        <v>48</v>
      </c>
      <c r="Z154" s="10" t="s">
        <v>48</v>
      </c>
      <c r="AA154" s="10" t="s">
        <v>48</v>
      </c>
      <c r="AB154" s="10" t="s">
        <v>48</v>
      </c>
      <c r="AC154" s="10" t="s">
        <v>48</v>
      </c>
      <c r="AD154" s="10"/>
      <c r="AE154" s="10"/>
      <c r="AF154" s="10"/>
      <c r="AG154" s="10"/>
      <c r="AH154" s="10"/>
      <c r="AI154" s="10"/>
      <c r="AJ154" s="73">
        <f t="shared" si="3"/>
        <v>18</v>
      </c>
      <c r="AK154" s="73"/>
      <c r="AL154" s="181"/>
    </row>
    <row r="155" spans="2:38" ht="16.05" customHeight="1" x14ac:dyDescent="0.3">
      <c r="B155" s="109">
        <v>154</v>
      </c>
      <c r="C155" s="10" t="s">
        <v>506</v>
      </c>
      <c r="D155" s="43" t="s">
        <v>387</v>
      </c>
      <c r="E155" s="43" t="s">
        <v>505</v>
      </c>
      <c r="F155" s="10" t="s">
        <v>48</v>
      </c>
      <c r="G155" s="10" t="s">
        <v>48</v>
      </c>
      <c r="H155" s="10"/>
      <c r="I155" s="10"/>
      <c r="J155" s="10"/>
      <c r="K155" s="10"/>
      <c r="L155" s="10"/>
      <c r="M155" s="10"/>
      <c r="N155" s="10" t="s">
        <v>48</v>
      </c>
      <c r="O155" s="10" t="s">
        <v>48</v>
      </c>
      <c r="P155" s="10" t="s">
        <v>48</v>
      </c>
      <c r="Q155" s="10" t="s">
        <v>48</v>
      </c>
      <c r="R155" s="10" t="s">
        <v>48</v>
      </c>
      <c r="S155" s="10" t="s">
        <v>48</v>
      </c>
      <c r="T155" s="10" t="s">
        <v>48</v>
      </c>
      <c r="U155" s="10" t="s">
        <v>48</v>
      </c>
      <c r="V155" s="10" t="s">
        <v>48</v>
      </c>
      <c r="W155" s="10" t="s">
        <v>48</v>
      </c>
      <c r="X155" s="10" t="s">
        <v>48</v>
      </c>
      <c r="Y155" s="10" t="s">
        <v>48</v>
      </c>
      <c r="Z155" s="10" t="s">
        <v>290</v>
      </c>
      <c r="AA155" s="10" t="s">
        <v>290</v>
      </c>
      <c r="AB155" s="10" t="s">
        <v>48</v>
      </c>
      <c r="AC155" s="10" t="s">
        <v>48</v>
      </c>
      <c r="AD155" s="10"/>
      <c r="AE155" s="10"/>
      <c r="AF155" s="10"/>
      <c r="AG155" s="10"/>
      <c r="AH155" s="10"/>
      <c r="AI155" s="10"/>
      <c r="AJ155" s="73">
        <f t="shared" si="3"/>
        <v>18</v>
      </c>
      <c r="AK155" s="73"/>
      <c r="AL155" s="181"/>
    </row>
    <row r="156" spans="2:38" ht="16.05" customHeight="1" x14ac:dyDescent="0.3">
      <c r="B156" s="109">
        <v>155</v>
      </c>
      <c r="C156" s="110" t="s">
        <v>700</v>
      </c>
      <c r="D156" s="42" t="s">
        <v>701</v>
      </c>
      <c r="E156" s="42" t="s">
        <v>702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 t="s">
        <v>48</v>
      </c>
      <c r="AE156" s="10" t="s">
        <v>48</v>
      </c>
      <c r="AF156" s="10"/>
      <c r="AG156" s="10"/>
      <c r="AH156" s="10"/>
      <c r="AI156" s="10"/>
      <c r="AJ156" s="73">
        <f t="shared" si="3"/>
        <v>2</v>
      </c>
      <c r="AK156" s="73"/>
      <c r="AL156" s="181"/>
    </row>
    <row r="157" spans="2:38" ht="16.05" customHeight="1" x14ac:dyDescent="0.3">
      <c r="B157" s="109">
        <v>156</v>
      </c>
      <c r="C157" s="10" t="s">
        <v>521</v>
      </c>
      <c r="D157" s="43" t="s">
        <v>519</v>
      </c>
      <c r="E157" s="43" t="s">
        <v>520</v>
      </c>
      <c r="F157" s="10"/>
      <c r="G157" s="10"/>
      <c r="H157" s="10" t="s">
        <v>48</v>
      </c>
      <c r="I157" s="10" t="s">
        <v>48</v>
      </c>
      <c r="J157" s="10" t="s">
        <v>48</v>
      </c>
      <c r="K157" s="10" t="s">
        <v>48</v>
      </c>
      <c r="L157" s="10" t="s">
        <v>48</v>
      </c>
      <c r="M157" s="10" t="s">
        <v>48</v>
      </c>
      <c r="N157" s="10"/>
      <c r="O157" s="10"/>
      <c r="P157" s="10"/>
      <c r="Q157" s="10"/>
      <c r="R157" s="10" t="s">
        <v>48</v>
      </c>
      <c r="S157" s="10" t="s">
        <v>48</v>
      </c>
      <c r="T157" s="10" t="s">
        <v>48</v>
      </c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73">
        <f t="shared" si="3"/>
        <v>9</v>
      </c>
      <c r="AK157" s="73"/>
      <c r="AL157" s="181"/>
    </row>
    <row r="158" spans="2:38" ht="16.05" customHeight="1" x14ac:dyDescent="0.3">
      <c r="B158" s="109">
        <v>157</v>
      </c>
      <c r="C158" s="110" t="s">
        <v>523</v>
      </c>
      <c r="D158" s="42" t="s">
        <v>522</v>
      </c>
      <c r="E158" s="42" t="s">
        <v>215</v>
      </c>
      <c r="F158" s="10"/>
      <c r="G158" s="10"/>
      <c r="H158" s="110" t="s">
        <v>48</v>
      </c>
      <c r="I158" s="110" t="s">
        <v>48</v>
      </c>
      <c r="J158" s="110" t="s">
        <v>48</v>
      </c>
      <c r="K158" s="110" t="s">
        <v>48</v>
      </c>
      <c r="L158" s="110" t="s">
        <v>48</v>
      </c>
      <c r="M158" s="110" t="s">
        <v>48</v>
      </c>
      <c r="N158" s="10"/>
      <c r="O158" s="10"/>
      <c r="P158" s="10"/>
      <c r="Q158" s="10"/>
      <c r="R158" s="10" t="s">
        <v>48</v>
      </c>
      <c r="S158" s="10" t="s">
        <v>48</v>
      </c>
      <c r="T158" s="10" t="s">
        <v>48</v>
      </c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73">
        <f t="shared" si="3"/>
        <v>9</v>
      </c>
      <c r="AK158" s="73"/>
      <c r="AL158" s="181"/>
    </row>
    <row r="159" spans="2:38" ht="16.05" customHeight="1" x14ac:dyDescent="0.3">
      <c r="B159" s="109">
        <v>158</v>
      </c>
      <c r="C159" s="10" t="s">
        <v>516</v>
      </c>
      <c r="D159" s="43" t="s">
        <v>514</v>
      </c>
      <c r="E159" s="43" t="s">
        <v>515</v>
      </c>
      <c r="F159" s="10"/>
      <c r="G159" s="10"/>
      <c r="H159" s="10" t="s">
        <v>48</v>
      </c>
      <c r="I159" s="10" t="s">
        <v>48</v>
      </c>
      <c r="J159" s="10" t="s">
        <v>48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73">
        <f t="shared" si="3"/>
        <v>3</v>
      </c>
      <c r="AK159" s="73"/>
      <c r="AL159" s="181"/>
    </row>
    <row r="160" spans="2:38" ht="16.05" customHeight="1" x14ac:dyDescent="0.3">
      <c r="B160" s="109">
        <v>159</v>
      </c>
      <c r="C160" s="172" t="s">
        <v>513</v>
      </c>
      <c r="D160" s="42" t="s">
        <v>511</v>
      </c>
      <c r="E160" s="42" t="s">
        <v>512</v>
      </c>
      <c r="F160" s="10"/>
      <c r="G160" s="10"/>
      <c r="H160" s="110" t="s">
        <v>48</v>
      </c>
      <c r="I160" s="110" t="s">
        <v>48</v>
      </c>
      <c r="J160" s="110" t="s">
        <v>48</v>
      </c>
      <c r="K160" s="110" t="s">
        <v>48</v>
      </c>
      <c r="L160" s="110" t="s">
        <v>48</v>
      </c>
      <c r="M160" s="110" t="s">
        <v>48</v>
      </c>
      <c r="N160" s="10"/>
      <c r="O160" s="10"/>
      <c r="P160" s="10"/>
      <c r="Q160" s="10"/>
      <c r="R160" s="10" t="s">
        <v>48</v>
      </c>
      <c r="S160" s="10" t="s">
        <v>48</v>
      </c>
      <c r="T160" s="10" t="s">
        <v>48</v>
      </c>
      <c r="U160" s="10" t="s">
        <v>48</v>
      </c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73">
        <f t="shared" si="3"/>
        <v>10</v>
      </c>
      <c r="AK160" s="73"/>
      <c r="AL160" s="181"/>
    </row>
    <row r="161" spans="2:38" ht="16.05" customHeight="1" x14ac:dyDescent="0.3">
      <c r="B161" s="109">
        <v>160</v>
      </c>
      <c r="C161" s="10" t="s">
        <v>530</v>
      </c>
      <c r="D161" s="43" t="s">
        <v>528</v>
      </c>
      <c r="E161" s="43" t="s">
        <v>529</v>
      </c>
      <c r="F161" s="10"/>
      <c r="G161" s="10"/>
      <c r="H161" s="10"/>
      <c r="I161" s="10" t="s">
        <v>48</v>
      </c>
      <c r="J161" s="10" t="s">
        <v>48</v>
      </c>
      <c r="K161" s="10" t="s">
        <v>48</v>
      </c>
      <c r="L161" s="10" t="s">
        <v>48</v>
      </c>
      <c r="M161" s="10" t="s">
        <v>48</v>
      </c>
      <c r="N161" s="10" t="s">
        <v>48</v>
      </c>
      <c r="O161" s="10" t="s">
        <v>48</v>
      </c>
      <c r="P161" s="10" t="s">
        <v>48</v>
      </c>
      <c r="Q161" s="10" t="s">
        <v>48</v>
      </c>
      <c r="R161" s="10" t="s">
        <v>48</v>
      </c>
      <c r="S161" s="10" t="s">
        <v>48</v>
      </c>
      <c r="T161" s="10" t="s">
        <v>48</v>
      </c>
      <c r="U161" s="10"/>
      <c r="V161" s="10" t="s">
        <v>48</v>
      </c>
      <c r="W161" s="10" t="s">
        <v>48</v>
      </c>
      <c r="X161" s="10" t="s">
        <v>48</v>
      </c>
      <c r="Y161" s="10" t="s">
        <v>48</v>
      </c>
      <c r="Z161" s="10"/>
      <c r="AA161" s="10"/>
      <c r="AB161" s="10"/>
      <c r="AC161" s="10"/>
      <c r="AD161" s="10"/>
      <c r="AE161" s="10"/>
      <c r="AF161" s="10" t="s">
        <v>48</v>
      </c>
      <c r="AG161" s="10" t="s">
        <v>48</v>
      </c>
      <c r="AH161" s="10" t="s">
        <v>48</v>
      </c>
      <c r="AI161" s="10" t="s">
        <v>48</v>
      </c>
      <c r="AJ161" s="73">
        <f t="shared" si="3"/>
        <v>20</v>
      </c>
      <c r="AK161" s="73"/>
      <c r="AL161" s="181"/>
    </row>
    <row r="162" spans="2:38" ht="16.05" customHeight="1" x14ac:dyDescent="0.3">
      <c r="B162" s="109">
        <v>161</v>
      </c>
      <c r="C162" s="172" t="s">
        <v>535</v>
      </c>
      <c r="D162" s="42" t="s">
        <v>533</v>
      </c>
      <c r="E162" s="42" t="s">
        <v>534</v>
      </c>
      <c r="F162" s="10"/>
      <c r="G162" s="10"/>
      <c r="H162" s="10"/>
      <c r="I162" s="10"/>
      <c r="J162" s="10"/>
      <c r="K162" s="10" t="s">
        <v>48</v>
      </c>
      <c r="L162" s="10" t="s">
        <v>48</v>
      </c>
      <c r="M162" s="10" t="s">
        <v>48</v>
      </c>
      <c r="N162" s="10"/>
      <c r="O162" s="10" t="s">
        <v>48</v>
      </c>
      <c r="P162" s="10" t="s">
        <v>48</v>
      </c>
      <c r="Q162" s="10" t="s">
        <v>48</v>
      </c>
      <c r="R162" s="10"/>
      <c r="S162" s="10" t="s">
        <v>48</v>
      </c>
      <c r="T162" s="10" t="s">
        <v>48</v>
      </c>
      <c r="U162" s="10" t="s">
        <v>48</v>
      </c>
      <c r="V162" s="10" t="s">
        <v>48</v>
      </c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 t="s">
        <v>48</v>
      </c>
      <c r="AH162" s="10" t="s">
        <v>412</v>
      </c>
      <c r="AI162" s="10" t="s">
        <v>412</v>
      </c>
      <c r="AJ162" s="73">
        <f t="shared" si="3"/>
        <v>15</v>
      </c>
      <c r="AK162" s="73"/>
      <c r="AL162" s="181"/>
    </row>
    <row r="163" spans="2:38" ht="16.05" customHeight="1" x14ac:dyDescent="0.3">
      <c r="B163" s="109">
        <v>162</v>
      </c>
      <c r="C163" s="110" t="s">
        <v>532</v>
      </c>
      <c r="D163" s="42" t="s">
        <v>531</v>
      </c>
      <c r="E163" s="42" t="s">
        <v>238</v>
      </c>
      <c r="F163" s="10"/>
      <c r="G163" s="10"/>
      <c r="H163" s="10"/>
      <c r="I163" s="10" t="s">
        <v>48</v>
      </c>
      <c r="J163" s="10" t="s">
        <v>48</v>
      </c>
      <c r="K163" s="10" t="s">
        <v>48</v>
      </c>
      <c r="L163" s="10" t="s">
        <v>48</v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73">
        <f t="shared" si="3"/>
        <v>4</v>
      </c>
      <c r="AK163" s="73"/>
      <c r="AL163" s="181"/>
    </row>
    <row r="164" spans="2:38" ht="16.05" customHeight="1" x14ac:dyDescent="0.3">
      <c r="B164" s="109">
        <v>163</v>
      </c>
      <c r="C164" s="10" t="s">
        <v>526</v>
      </c>
      <c r="D164" s="43" t="s">
        <v>524</v>
      </c>
      <c r="E164" s="43" t="s">
        <v>525</v>
      </c>
      <c r="F164" s="10"/>
      <c r="G164" s="10"/>
      <c r="H164" s="10" t="s">
        <v>48</v>
      </c>
      <c r="I164" s="10" t="s">
        <v>48</v>
      </c>
      <c r="J164" s="10" t="s">
        <v>48</v>
      </c>
      <c r="K164" s="10" t="s">
        <v>48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73">
        <f t="shared" si="3"/>
        <v>4</v>
      </c>
      <c r="AK164" s="73"/>
      <c r="AL164" s="181"/>
    </row>
    <row r="165" spans="2:38" ht="16.05" customHeight="1" x14ac:dyDescent="0.3">
      <c r="B165" s="109">
        <v>164</v>
      </c>
      <c r="C165" s="10" t="s">
        <v>559</v>
      </c>
      <c r="D165" s="43" t="s">
        <v>358</v>
      </c>
      <c r="E165" s="43" t="s">
        <v>67</v>
      </c>
      <c r="F165" s="10" t="s">
        <v>48</v>
      </c>
      <c r="G165" s="10" t="s">
        <v>48</v>
      </c>
      <c r="H165" s="10" t="s">
        <v>48</v>
      </c>
      <c r="I165" s="10"/>
      <c r="J165" s="10"/>
      <c r="K165" s="10"/>
      <c r="L165" s="10"/>
      <c r="M165" s="10" t="s">
        <v>48</v>
      </c>
      <c r="N165" s="10" t="s">
        <v>48</v>
      </c>
      <c r="O165" s="10" t="s">
        <v>48</v>
      </c>
      <c r="P165" s="10" t="s">
        <v>48</v>
      </c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73">
        <f t="shared" si="3"/>
        <v>7</v>
      </c>
      <c r="AK165" s="73"/>
      <c r="AL165" s="181"/>
    </row>
    <row r="166" spans="2:38" ht="16.05" customHeight="1" x14ac:dyDescent="0.3">
      <c r="B166" s="109">
        <v>165</v>
      </c>
      <c r="C166" s="110" t="s">
        <v>518</v>
      </c>
      <c r="D166" s="42" t="s">
        <v>517</v>
      </c>
      <c r="E166" s="42" t="s">
        <v>395</v>
      </c>
      <c r="F166" s="110" t="s">
        <v>48</v>
      </c>
      <c r="G166" s="10"/>
      <c r="H166" s="110" t="s">
        <v>48</v>
      </c>
      <c r="I166" s="110" t="s">
        <v>48</v>
      </c>
      <c r="J166" s="110" t="s">
        <v>48</v>
      </c>
      <c r="K166" s="110" t="s">
        <v>48</v>
      </c>
      <c r="L166" s="110" t="s">
        <v>48</v>
      </c>
      <c r="M166" s="110" t="s">
        <v>48</v>
      </c>
      <c r="N166" s="10"/>
      <c r="O166" s="10"/>
      <c r="P166" s="10"/>
      <c r="Q166" s="10"/>
      <c r="R166" s="10" t="s">
        <v>48</v>
      </c>
      <c r="S166" s="10" t="s">
        <v>48</v>
      </c>
      <c r="T166" s="10" t="s">
        <v>48</v>
      </c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73">
        <f t="shared" si="3"/>
        <v>10</v>
      </c>
      <c r="AK166" s="73"/>
      <c r="AL166" s="181"/>
    </row>
    <row r="167" spans="2:38" ht="16.05" customHeight="1" x14ac:dyDescent="0.3">
      <c r="B167" s="109">
        <v>166</v>
      </c>
      <c r="C167" s="118" t="s">
        <v>593</v>
      </c>
      <c r="D167" s="43" t="s">
        <v>591</v>
      </c>
      <c r="E167" s="43" t="s">
        <v>592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 t="s">
        <v>48</v>
      </c>
      <c r="P167" s="10" t="s">
        <v>48</v>
      </c>
      <c r="Q167" s="10" t="s">
        <v>48</v>
      </c>
      <c r="R167" s="10" t="s">
        <v>48</v>
      </c>
      <c r="S167" s="10" t="s">
        <v>48</v>
      </c>
      <c r="T167" s="10" t="s">
        <v>48</v>
      </c>
      <c r="U167" s="10" t="s">
        <v>48</v>
      </c>
      <c r="V167" s="10" t="s">
        <v>48</v>
      </c>
      <c r="W167" s="10"/>
      <c r="X167" s="10"/>
      <c r="Y167" s="10" t="s">
        <v>48</v>
      </c>
      <c r="Z167" s="10" t="s">
        <v>48</v>
      </c>
      <c r="AA167" s="10" t="s">
        <v>48</v>
      </c>
      <c r="AB167" s="10" t="s">
        <v>48</v>
      </c>
      <c r="AC167" s="10" t="s">
        <v>48</v>
      </c>
      <c r="AD167" s="10" t="s">
        <v>48</v>
      </c>
      <c r="AE167" s="10" t="s">
        <v>48</v>
      </c>
      <c r="AF167" s="10"/>
      <c r="AG167" s="10" t="s">
        <v>48</v>
      </c>
      <c r="AH167" s="10" t="s">
        <v>412</v>
      </c>
      <c r="AI167" s="10" t="s">
        <v>412</v>
      </c>
      <c r="AJ167" s="73">
        <f t="shared" si="3"/>
        <v>20</v>
      </c>
      <c r="AK167" s="73"/>
      <c r="AL167" s="181"/>
    </row>
    <row r="168" spans="2:38" ht="16.05" customHeight="1" x14ac:dyDescent="0.3">
      <c r="B168" s="109">
        <v>167</v>
      </c>
      <c r="C168" s="172" t="s">
        <v>572</v>
      </c>
      <c r="D168" s="42" t="s">
        <v>570</v>
      </c>
      <c r="E168" s="42" t="s">
        <v>571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 t="s">
        <v>48</v>
      </c>
      <c r="P168" s="10" t="s">
        <v>48</v>
      </c>
      <c r="Q168" s="10" t="s">
        <v>48</v>
      </c>
      <c r="R168" s="10" t="s">
        <v>48</v>
      </c>
      <c r="S168" s="10" t="s">
        <v>48</v>
      </c>
      <c r="T168" s="10" t="s">
        <v>48</v>
      </c>
      <c r="U168" s="10" t="s">
        <v>48</v>
      </c>
      <c r="V168" s="10" t="s">
        <v>48</v>
      </c>
      <c r="W168" s="10"/>
      <c r="X168" s="10"/>
      <c r="Y168" s="10" t="s">
        <v>48</v>
      </c>
      <c r="Z168" s="10" t="s">
        <v>48</v>
      </c>
      <c r="AA168" s="10" t="s">
        <v>48</v>
      </c>
      <c r="AB168" s="10" t="s">
        <v>48</v>
      </c>
      <c r="AC168" s="10"/>
      <c r="AD168" s="10"/>
      <c r="AE168" s="10"/>
      <c r="AF168" s="10"/>
      <c r="AG168" s="10"/>
      <c r="AH168" s="10"/>
      <c r="AI168" s="10"/>
      <c r="AJ168" s="73">
        <f t="shared" si="3"/>
        <v>12</v>
      </c>
      <c r="AK168" s="73"/>
      <c r="AL168" s="181"/>
    </row>
    <row r="169" spans="2:38" ht="16.05" customHeight="1" x14ac:dyDescent="0.3">
      <c r="B169" s="109">
        <v>168</v>
      </c>
      <c r="C169" s="118" t="s">
        <v>590</v>
      </c>
      <c r="D169" s="43" t="s">
        <v>588</v>
      </c>
      <c r="E169" s="43" t="s">
        <v>589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 t="s">
        <v>48</v>
      </c>
      <c r="P169" s="10" t="s">
        <v>48</v>
      </c>
      <c r="Q169" s="10" t="s">
        <v>48</v>
      </c>
      <c r="R169" s="10" t="s">
        <v>48</v>
      </c>
      <c r="S169" s="10"/>
      <c r="T169" s="10"/>
      <c r="U169" s="10"/>
      <c r="V169" s="10"/>
      <c r="W169" s="10"/>
      <c r="X169" s="10"/>
      <c r="Y169" s="10" t="s">
        <v>48</v>
      </c>
      <c r="Z169" s="10" t="s">
        <v>48</v>
      </c>
      <c r="AA169" s="10" t="s">
        <v>48</v>
      </c>
      <c r="AB169" s="10" t="s">
        <v>48</v>
      </c>
      <c r="AC169" s="10" t="s">
        <v>48</v>
      </c>
      <c r="AD169" s="10" t="s">
        <v>48</v>
      </c>
      <c r="AE169" s="10" t="s">
        <v>48</v>
      </c>
      <c r="AF169" s="10"/>
      <c r="AG169" s="10"/>
      <c r="AH169" s="10"/>
      <c r="AI169" s="10"/>
      <c r="AJ169" s="73">
        <f t="shared" si="3"/>
        <v>11</v>
      </c>
      <c r="AK169" s="73"/>
      <c r="AL169" s="181"/>
    </row>
    <row r="170" spans="2:38" ht="16.05" customHeight="1" x14ac:dyDescent="0.3">
      <c r="B170" s="109">
        <v>169</v>
      </c>
      <c r="C170" s="172" t="s">
        <v>578</v>
      </c>
      <c r="D170" s="42" t="s">
        <v>576</v>
      </c>
      <c r="E170" s="42" t="s">
        <v>577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 t="s">
        <v>48</v>
      </c>
      <c r="P170" s="10" t="s">
        <v>48</v>
      </c>
      <c r="Q170" s="10" t="s">
        <v>48</v>
      </c>
      <c r="R170" s="10" t="s">
        <v>48</v>
      </c>
      <c r="S170" s="10" t="s">
        <v>48</v>
      </c>
      <c r="T170" s="10" t="s">
        <v>48</v>
      </c>
      <c r="U170" s="10" t="s">
        <v>48</v>
      </c>
      <c r="V170" s="10" t="s">
        <v>48</v>
      </c>
      <c r="W170" s="10"/>
      <c r="X170" s="10"/>
      <c r="Y170" s="10" t="s">
        <v>48</v>
      </c>
      <c r="Z170" s="10" t="s">
        <v>48</v>
      </c>
      <c r="AA170" s="10" t="s">
        <v>48</v>
      </c>
      <c r="AB170" s="10" t="s">
        <v>48</v>
      </c>
      <c r="AC170" s="10" t="s">
        <v>48</v>
      </c>
      <c r="AD170" s="10" t="s">
        <v>48</v>
      </c>
      <c r="AE170" s="10" t="s">
        <v>48</v>
      </c>
      <c r="AF170" s="10"/>
      <c r="AG170" s="10" t="s">
        <v>48</v>
      </c>
      <c r="AH170" s="10" t="s">
        <v>412</v>
      </c>
      <c r="AI170" s="10" t="s">
        <v>412</v>
      </c>
      <c r="AJ170" s="73">
        <f t="shared" si="3"/>
        <v>20</v>
      </c>
      <c r="AK170" s="73"/>
      <c r="AL170" s="181"/>
    </row>
    <row r="171" spans="2:38" ht="16.05" customHeight="1" x14ac:dyDescent="0.3">
      <c r="B171" s="109">
        <v>170</v>
      </c>
      <c r="C171" s="118" t="s">
        <v>569</v>
      </c>
      <c r="D171" s="43" t="s">
        <v>567</v>
      </c>
      <c r="E171" s="43" t="s">
        <v>568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 t="s">
        <v>48</v>
      </c>
      <c r="P171" s="10" t="s">
        <v>48</v>
      </c>
      <c r="Q171" s="10" t="s">
        <v>48</v>
      </c>
      <c r="R171" s="10" t="s">
        <v>48</v>
      </c>
      <c r="S171" s="10" t="s">
        <v>48</v>
      </c>
      <c r="T171" s="10" t="s">
        <v>48</v>
      </c>
      <c r="U171" s="10" t="s">
        <v>48</v>
      </c>
      <c r="V171" s="10" t="s">
        <v>48</v>
      </c>
      <c r="W171" s="10"/>
      <c r="X171" s="10"/>
      <c r="Y171" s="10" t="s">
        <v>48</v>
      </c>
      <c r="Z171" s="10" t="s">
        <v>48</v>
      </c>
      <c r="AA171" s="10" t="s">
        <v>48</v>
      </c>
      <c r="AB171" s="10" t="s">
        <v>48</v>
      </c>
      <c r="AC171" s="10" t="s">
        <v>48</v>
      </c>
      <c r="AD171" s="10" t="s">
        <v>48</v>
      </c>
      <c r="AE171" s="10" t="s">
        <v>48</v>
      </c>
      <c r="AF171" s="10"/>
      <c r="AG171" s="10" t="s">
        <v>48</v>
      </c>
      <c r="AH171" s="10" t="s">
        <v>412</v>
      </c>
      <c r="AI171" s="10" t="s">
        <v>412</v>
      </c>
      <c r="AJ171" s="73">
        <f t="shared" si="3"/>
        <v>20</v>
      </c>
      <c r="AK171" s="73"/>
      <c r="AL171" s="181"/>
    </row>
    <row r="172" spans="2:38" ht="16.05" customHeight="1" x14ac:dyDescent="0.3">
      <c r="B172" s="109">
        <v>171</v>
      </c>
      <c r="C172" s="172" t="s">
        <v>581</v>
      </c>
      <c r="D172" s="42" t="s">
        <v>579</v>
      </c>
      <c r="E172" s="42" t="s">
        <v>580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 t="s">
        <v>48</v>
      </c>
      <c r="P172" s="10" t="s">
        <v>48</v>
      </c>
      <c r="Q172" s="10" t="s">
        <v>48</v>
      </c>
      <c r="R172" s="10" t="s">
        <v>48</v>
      </c>
      <c r="S172" s="10" t="s">
        <v>48</v>
      </c>
      <c r="T172" s="10" t="s">
        <v>48</v>
      </c>
      <c r="U172" s="10" t="s">
        <v>48</v>
      </c>
      <c r="V172" s="10" t="s">
        <v>48</v>
      </c>
      <c r="W172" s="10"/>
      <c r="X172" s="10"/>
      <c r="Y172" s="10" t="s">
        <v>48</v>
      </c>
      <c r="Z172" s="10" t="s">
        <v>48</v>
      </c>
      <c r="AA172" s="10" t="s">
        <v>48</v>
      </c>
      <c r="AB172" s="10" t="s">
        <v>48</v>
      </c>
      <c r="AC172" s="10" t="s">
        <v>48</v>
      </c>
      <c r="AD172" s="10" t="s">
        <v>48</v>
      </c>
      <c r="AE172" s="10" t="s">
        <v>48</v>
      </c>
      <c r="AF172" s="10"/>
      <c r="AG172" s="10" t="s">
        <v>48</v>
      </c>
      <c r="AH172" s="10" t="s">
        <v>412</v>
      </c>
      <c r="AI172" s="10" t="s">
        <v>412</v>
      </c>
      <c r="AJ172" s="73">
        <f t="shared" ref="AJ172:AJ229" si="4">COUNTIF(F172:AI172,"p")+COUNTIF(F172:AI172,"pp")+COUNTIF(F172:AI172,"pp")</f>
        <v>20</v>
      </c>
      <c r="AK172" s="73"/>
      <c r="AL172" s="181"/>
    </row>
    <row r="173" spans="2:38" ht="16.05" customHeight="1" x14ac:dyDescent="0.3">
      <c r="B173" s="109">
        <v>172</v>
      </c>
      <c r="C173" s="118" t="s">
        <v>584</v>
      </c>
      <c r="D173" s="43" t="s">
        <v>582</v>
      </c>
      <c r="E173" s="43" t="s">
        <v>583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 t="s">
        <v>48</v>
      </c>
      <c r="P173" s="10" t="s">
        <v>48</v>
      </c>
      <c r="Q173" s="10" t="s">
        <v>48</v>
      </c>
      <c r="R173" s="10" t="s">
        <v>48</v>
      </c>
      <c r="S173" s="10" t="s">
        <v>48</v>
      </c>
      <c r="T173" s="10" t="s">
        <v>48</v>
      </c>
      <c r="U173" s="10" t="s">
        <v>48</v>
      </c>
      <c r="V173" s="10" t="s">
        <v>48</v>
      </c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73">
        <f t="shared" si="4"/>
        <v>8</v>
      </c>
      <c r="AK173" s="73"/>
      <c r="AL173" s="181"/>
    </row>
    <row r="174" spans="2:38" ht="16.05" customHeight="1" x14ac:dyDescent="0.3">
      <c r="B174" s="109">
        <v>173</v>
      </c>
      <c r="C174" s="172">
        <v>34365</v>
      </c>
      <c r="D174" s="42" t="s">
        <v>585</v>
      </c>
      <c r="E174" s="42" t="s">
        <v>586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 t="s">
        <v>48</v>
      </c>
      <c r="P174" s="10" t="s">
        <v>48</v>
      </c>
      <c r="Q174" s="10" t="s">
        <v>48</v>
      </c>
      <c r="R174" s="10" t="s">
        <v>48</v>
      </c>
      <c r="S174" s="10" t="s">
        <v>48</v>
      </c>
      <c r="T174" s="10" t="s">
        <v>48</v>
      </c>
      <c r="U174" s="10" t="s">
        <v>48</v>
      </c>
      <c r="V174" s="10" t="s">
        <v>48</v>
      </c>
      <c r="W174" s="10"/>
      <c r="X174" s="10"/>
      <c r="Y174" s="10" t="s">
        <v>48</v>
      </c>
      <c r="Z174" s="10" t="s">
        <v>48</v>
      </c>
      <c r="AA174" s="10" t="s">
        <v>48</v>
      </c>
      <c r="AB174" s="10" t="s">
        <v>48</v>
      </c>
      <c r="AC174" s="10" t="s">
        <v>48</v>
      </c>
      <c r="AD174" s="10" t="s">
        <v>48</v>
      </c>
      <c r="AE174" s="10" t="s">
        <v>48</v>
      </c>
      <c r="AF174" s="10"/>
      <c r="AG174" s="10" t="s">
        <v>48</v>
      </c>
      <c r="AH174" s="10" t="s">
        <v>412</v>
      </c>
      <c r="AI174" s="10" t="s">
        <v>412</v>
      </c>
      <c r="AJ174" s="73">
        <f t="shared" si="4"/>
        <v>20</v>
      </c>
      <c r="AK174" s="73"/>
      <c r="AL174" s="181"/>
    </row>
    <row r="175" spans="2:38" ht="16.05" customHeight="1" x14ac:dyDescent="0.3">
      <c r="B175" s="109">
        <v>174</v>
      </c>
      <c r="C175" s="10" t="s">
        <v>562</v>
      </c>
      <c r="D175" s="43" t="s">
        <v>66</v>
      </c>
      <c r="E175" s="43" t="s">
        <v>561</v>
      </c>
      <c r="F175" s="10"/>
      <c r="G175" s="10"/>
      <c r="H175" s="10"/>
      <c r="I175" s="10"/>
      <c r="J175" s="10"/>
      <c r="K175" s="10"/>
      <c r="L175" s="10"/>
      <c r="M175" s="10" t="s">
        <v>48</v>
      </c>
      <c r="N175" s="10" t="s">
        <v>48</v>
      </c>
      <c r="O175" s="10" t="s">
        <v>48</v>
      </c>
      <c r="P175" s="10" t="s">
        <v>48</v>
      </c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73">
        <f t="shared" si="4"/>
        <v>4</v>
      </c>
      <c r="AK175" s="73"/>
      <c r="AL175" s="181"/>
    </row>
    <row r="176" spans="2:38" ht="16.05" customHeight="1" x14ac:dyDescent="0.3">
      <c r="B176" s="109">
        <v>175</v>
      </c>
      <c r="C176" s="118" t="s">
        <v>575</v>
      </c>
      <c r="D176" s="43" t="s">
        <v>573</v>
      </c>
      <c r="E176" s="43" t="s">
        <v>574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 t="s">
        <v>48</v>
      </c>
      <c r="P176" s="10" t="s">
        <v>48</v>
      </c>
      <c r="Q176" s="10" t="s">
        <v>48</v>
      </c>
      <c r="R176" s="10" t="s">
        <v>48</v>
      </c>
      <c r="S176" s="10" t="s">
        <v>48</v>
      </c>
      <c r="T176" s="10" t="s">
        <v>48</v>
      </c>
      <c r="U176" s="10" t="s">
        <v>48</v>
      </c>
      <c r="V176" s="10" t="s">
        <v>48</v>
      </c>
      <c r="W176" s="10"/>
      <c r="X176" s="10"/>
      <c r="Y176" s="10" t="s">
        <v>48</v>
      </c>
      <c r="Z176" s="10" t="s">
        <v>48</v>
      </c>
      <c r="AA176" s="10" t="s">
        <v>48</v>
      </c>
      <c r="AB176" s="10" t="s">
        <v>48</v>
      </c>
      <c r="AC176" s="10" t="s">
        <v>48</v>
      </c>
      <c r="AD176" s="10" t="s">
        <v>48</v>
      </c>
      <c r="AE176" s="10" t="s">
        <v>48</v>
      </c>
      <c r="AF176" s="10"/>
      <c r="AG176" s="10" t="s">
        <v>48</v>
      </c>
      <c r="AH176" s="10" t="s">
        <v>48</v>
      </c>
      <c r="AI176" s="10" t="s">
        <v>48</v>
      </c>
      <c r="AJ176" s="73">
        <f t="shared" si="4"/>
        <v>18</v>
      </c>
      <c r="AK176" s="73"/>
      <c r="AL176" s="181"/>
    </row>
    <row r="177" spans="2:38" ht="16.05" customHeight="1" x14ac:dyDescent="0.3">
      <c r="B177" s="109">
        <v>176</v>
      </c>
      <c r="C177" s="110" t="s">
        <v>634</v>
      </c>
      <c r="D177" s="42" t="s">
        <v>363</v>
      </c>
      <c r="E177" s="42" t="s">
        <v>238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 t="s">
        <v>48</v>
      </c>
      <c r="V177" s="10" t="s">
        <v>48</v>
      </c>
      <c r="W177" s="10"/>
      <c r="X177" s="10" t="s">
        <v>48</v>
      </c>
      <c r="Y177" s="10" t="s">
        <v>48</v>
      </c>
      <c r="Z177" s="10" t="s">
        <v>48</v>
      </c>
      <c r="AA177" s="10" t="s">
        <v>48</v>
      </c>
      <c r="AB177" s="10" t="s">
        <v>48</v>
      </c>
      <c r="AC177" s="10"/>
      <c r="AD177" s="10"/>
      <c r="AE177" s="10"/>
      <c r="AF177" s="10"/>
      <c r="AG177" s="10"/>
      <c r="AH177" s="10"/>
      <c r="AI177" s="10"/>
      <c r="AJ177" s="73">
        <f t="shared" si="4"/>
        <v>7</v>
      </c>
      <c r="AK177" s="73"/>
      <c r="AL177" s="181"/>
    </row>
    <row r="178" spans="2:38" ht="16.05" customHeight="1" x14ac:dyDescent="0.3">
      <c r="B178" s="109">
        <v>177</v>
      </c>
      <c r="C178" s="10" t="s">
        <v>632</v>
      </c>
      <c r="D178" s="43" t="s">
        <v>85</v>
      </c>
      <c r="E178" s="43" t="s">
        <v>631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 t="s">
        <v>48</v>
      </c>
      <c r="U178" s="10" t="s">
        <v>48</v>
      </c>
      <c r="V178" s="10" t="s">
        <v>48</v>
      </c>
      <c r="W178" s="10" t="s">
        <v>48</v>
      </c>
      <c r="X178" s="10" t="s">
        <v>48</v>
      </c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73">
        <f t="shared" si="4"/>
        <v>5</v>
      </c>
      <c r="AK178" s="73"/>
      <c r="AL178" s="181"/>
    </row>
    <row r="179" spans="2:38" ht="16.05" customHeight="1" x14ac:dyDescent="0.3">
      <c r="B179" s="109">
        <v>178</v>
      </c>
      <c r="C179" s="110" t="s">
        <v>603</v>
      </c>
      <c r="D179" s="42" t="s">
        <v>601</v>
      </c>
      <c r="E179" s="42" t="s">
        <v>602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 t="s">
        <v>48</v>
      </c>
      <c r="R179" s="10" t="s">
        <v>48</v>
      </c>
      <c r="S179" s="10" t="s">
        <v>48</v>
      </c>
      <c r="T179" s="10" t="s">
        <v>48</v>
      </c>
      <c r="U179" s="10" t="s">
        <v>48</v>
      </c>
      <c r="V179" s="10" t="s">
        <v>48</v>
      </c>
      <c r="W179" s="10" t="s">
        <v>48</v>
      </c>
      <c r="X179" s="10" t="s">
        <v>48</v>
      </c>
      <c r="Y179" s="10" t="s">
        <v>48</v>
      </c>
      <c r="Z179" s="10" t="s">
        <v>48</v>
      </c>
      <c r="AA179" s="10" t="s">
        <v>48</v>
      </c>
      <c r="AB179" s="10" t="s">
        <v>48</v>
      </c>
      <c r="AC179" s="10" t="s">
        <v>48</v>
      </c>
      <c r="AD179" s="10" t="s">
        <v>48</v>
      </c>
      <c r="AE179" s="10" t="s">
        <v>48</v>
      </c>
      <c r="AF179" s="10" t="s">
        <v>48</v>
      </c>
      <c r="AG179" s="10" t="s">
        <v>48</v>
      </c>
      <c r="AH179" s="10" t="s">
        <v>48</v>
      </c>
      <c r="AI179" s="10" t="s">
        <v>48</v>
      </c>
      <c r="AJ179" s="73">
        <f t="shared" si="4"/>
        <v>19</v>
      </c>
      <c r="AK179" s="73"/>
      <c r="AL179" s="181"/>
    </row>
    <row r="180" spans="2:38" ht="16.05" customHeight="1" x14ac:dyDescent="0.3">
      <c r="B180" s="109">
        <v>179</v>
      </c>
      <c r="C180" s="10" t="s">
        <v>630</v>
      </c>
      <c r="D180" s="43" t="s">
        <v>628</v>
      </c>
      <c r="E180" s="43" t="s">
        <v>629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 t="s">
        <v>48</v>
      </c>
      <c r="U180" s="10" t="s">
        <v>48</v>
      </c>
      <c r="V180" s="10" t="s">
        <v>48</v>
      </c>
      <c r="W180" s="10" t="s">
        <v>48</v>
      </c>
      <c r="X180" s="10" t="s">
        <v>48</v>
      </c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73">
        <f t="shared" si="4"/>
        <v>5</v>
      </c>
      <c r="AK180" s="73"/>
      <c r="AL180" s="181"/>
    </row>
    <row r="181" spans="2:38" ht="16.05" customHeight="1" x14ac:dyDescent="0.3">
      <c r="B181" s="109">
        <v>180</v>
      </c>
      <c r="C181" s="110" t="s">
        <v>566</v>
      </c>
      <c r="D181" s="42" t="s">
        <v>564</v>
      </c>
      <c r="E181" s="42" t="s">
        <v>565</v>
      </c>
      <c r="F181" s="10"/>
      <c r="G181" s="10"/>
      <c r="H181" s="10"/>
      <c r="I181" s="10"/>
      <c r="J181" s="10"/>
      <c r="K181" s="10"/>
      <c r="L181" s="10"/>
      <c r="M181" s="10"/>
      <c r="N181" s="10" t="s">
        <v>48</v>
      </c>
      <c r="O181" s="10" t="s">
        <v>48</v>
      </c>
      <c r="P181" s="10"/>
      <c r="Q181" s="10" t="s">
        <v>48</v>
      </c>
      <c r="R181" s="10" t="s">
        <v>48</v>
      </c>
      <c r="S181" s="10" t="s">
        <v>48</v>
      </c>
      <c r="T181" s="10" t="s">
        <v>48</v>
      </c>
      <c r="U181" s="10" t="s">
        <v>48</v>
      </c>
      <c r="V181" s="10" t="s">
        <v>48</v>
      </c>
      <c r="W181" s="10"/>
      <c r="X181" s="10"/>
      <c r="Y181" s="10" t="s">
        <v>48</v>
      </c>
      <c r="Z181" s="10" t="s">
        <v>48</v>
      </c>
      <c r="AA181" s="10" t="s">
        <v>48</v>
      </c>
      <c r="AB181" s="10" t="s">
        <v>48</v>
      </c>
      <c r="AC181" s="10"/>
      <c r="AD181" s="10"/>
      <c r="AE181" s="10" t="s">
        <v>48</v>
      </c>
      <c r="AF181" s="10" t="s">
        <v>48</v>
      </c>
      <c r="AG181" s="10"/>
      <c r="AH181" s="10"/>
      <c r="AI181" s="10"/>
      <c r="AJ181" s="73">
        <f t="shared" si="4"/>
        <v>14</v>
      </c>
      <c r="AK181" s="73"/>
      <c r="AL181" s="181"/>
    </row>
    <row r="182" spans="2:38" ht="16.05" customHeight="1" x14ac:dyDescent="0.3">
      <c r="B182" s="109">
        <v>181</v>
      </c>
      <c r="C182" s="10" t="s">
        <v>639</v>
      </c>
      <c r="D182" s="43" t="s">
        <v>637</v>
      </c>
      <c r="E182" s="43" t="s">
        <v>638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 t="s">
        <v>48</v>
      </c>
      <c r="V182" s="10" t="s">
        <v>48</v>
      </c>
      <c r="W182" s="10" t="s">
        <v>48</v>
      </c>
      <c r="X182" s="10" t="s">
        <v>48</v>
      </c>
      <c r="Y182" s="10"/>
      <c r="Z182" s="10" t="s">
        <v>48</v>
      </c>
      <c r="AA182" s="10" t="s">
        <v>48</v>
      </c>
      <c r="AB182" s="10"/>
      <c r="AC182" s="10"/>
      <c r="AD182" s="10" t="s">
        <v>48</v>
      </c>
      <c r="AE182" s="10" t="s">
        <v>48</v>
      </c>
      <c r="AF182" s="10" t="s">
        <v>48</v>
      </c>
      <c r="AG182" s="10" t="s">
        <v>48</v>
      </c>
      <c r="AH182" s="10"/>
      <c r="AI182" s="10"/>
      <c r="AJ182" s="73">
        <f t="shared" si="4"/>
        <v>10</v>
      </c>
      <c r="AK182" s="73"/>
      <c r="AL182" s="181"/>
    </row>
    <row r="183" spans="2:38" ht="16.05" customHeight="1" x14ac:dyDescent="0.3">
      <c r="B183" s="109">
        <v>182</v>
      </c>
      <c r="C183" s="110" t="s">
        <v>705</v>
      </c>
      <c r="D183" s="42" t="s">
        <v>643</v>
      </c>
      <c r="E183" s="42" t="s">
        <v>644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 t="s">
        <v>48</v>
      </c>
      <c r="W183" s="10" t="s">
        <v>48</v>
      </c>
      <c r="X183" s="10" t="s">
        <v>48</v>
      </c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73">
        <f t="shared" si="4"/>
        <v>3</v>
      </c>
      <c r="AK183" s="73"/>
      <c r="AL183" s="181"/>
    </row>
    <row r="184" spans="2:38" ht="16.05" customHeight="1" x14ac:dyDescent="0.3">
      <c r="B184" s="109">
        <v>183</v>
      </c>
      <c r="C184" s="10" t="s">
        <v>626</v>
      </c>
      <c r="D184" s="43" t="s">
        <v>625</v>
      </c>
      <c r="E184" s="43" t="s">
        <v>175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 t="s">
        <v>48</v>
      </c>
      <c r="U184" s="10" t="s">
        <v>48</v>
      </c>
      <c r="V184" s="10" t="s">
        <v>48</v>
      </c>
      <c r="W184" s="10" t="s">
        <v>48</v>
      </c>
      <c r="X184" s="10"/>
      <c r="Y184" s="10"/>
      <c r="Z184" s="10"/>
      <c r="AA184" s="10" t="s">
        <v>48</v>
      </c>
      <c r="AB184" s="10" t="s">
        <v>48</v>
      </c>
      <c r="AC184" s="10" t="s">
        <v>48</v>
      </c>
      <c r="AD184" s="10" t="s">
        <v>48</v>
      </c>
      <c r="AE184" s="10" t="s">
        <v>48</v>
      </c>
      <c r="AF184" s="10" t="s">
        <v>48</v>
      </c>
      <c r="AG184" s="10" t="s">
        <v>48</v>
      </c>
      <c r="AH184" s="10" t="s">
        <v>48</v>
      </c>
      <c r="AI184" s="10" t="s">
        <v>48</v>
      </c>
      <c r="AJ184" s="73">
        <f t="shared" si="4"/>
        <v>13</v>
      </c>
      <c r="AK184" s="73"/>
      <c r="AL184" s="181"/>
    </row>
    <row r="185" spans="2:38" ht="16.05" customHeight="1" x14ac:dyDescent="0.3">
      <c r="B185" s="109">
        <v>184</v>
      </c>
      <c r="C185" s="110" t="s">
        <v>624</v>
      </c>
      <c r="D185" s="42" t="s">
        <v>387</v>
      </c>
      <c r="E185" s="42" t="s">
        <v>623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 t="s">
        <v>48</v>
      </c>
      <c r="U185" s="10" t="s">
        <v>48</v>
      </c>
      <c r="V185" s="10" t="s">
        <v>48</v>
      </c>
      <c r="W185" s="10" t="s">
        <v>48</v>
      </c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73">
        <f t="shared" si="4"/>
        <v>4</v>
      </c>
      <c r="AK185" s="73"/>
      <c r="AL185" s="181"/>
    </row>
    <row r="186" spans="2:38" ht="16.05" customHeight="1" x14ac:dyDescent="0.3">
      <c r="B186" s="109">
        <v>185</v>
      </c>
      <c r="C186" s="10" t="s">
        <v>556</v>
      </c>
      <c r="D186" s="43" t="s">
        <v>555</v>
      </c>
      <c r="E186" s="43" t="s">
        <v>73</v>
      </c>
      <c r="F186" s="10"/>
      <c r="G186" s="10"/>
      <c r="H186" s="10"/>
      <c r="I186" s="10"/>
      <c r="J186" s="10"/>
      <c r="K186" s="10"/>
      <c r="L186" s="10" t="s">
        <v>48</v>
      </c>
      <c r="M186" s="10" t="s">
        <v>48</v>
      </c>
      <c r="N186" s="10" t="s">
        <v>48</v>
      </c>
      <c r="O186" s="10" t="s">
        <v>48</v>
      </c>
      <c r="P186" s="10"/>
      <c r="Q186" s="10" t="s">
        <v>48</v>
      </c>
      <c r="R186" s="10" t="s">
        <v>48</v>
      </c>
      <c r="S186" s="10" t="s">
        <v>48</v>
      </c>
      <c r="T186" s="10" t="s">
        <v>48</v>
      </c>
      <c r="U186" s="10" t="s">
        <v>48</v>
      </c>
      <c r="V186" s="10" t="s">
        <v>48</v>
      </c>
      <c r="W186" s="10" t="s">
        <v>48</v>
      </c>
      <c r="X186" s="10" t="s">
        <v>48</v>
      </c>
      <c r="Y186" s="10" t="s">
        <v>48</v>
      </c>
      <c r="Z186" s="10" t="s">
        <v>48</v>
      </c>
      <c r="AA186" s="10" t="s">
        <v>48</v>
      </c>
      <c r="AB186" s="10" t="s">
        <v>48</v>
      </c>
      <c r="AC186" s="10" t="s">
        <v>48</v>
      </c>
      <c r="AD186" s="10" t="s">
        <v>48</v>
      </c>
      <c r="AE186" s="10"/>
      <c r="AF186" s="10"/>
      <c r="AG186" s="10" t="s">
        <v>48</v>
      </c>
      <c r="AH186" s="10" t="s">
        <v>48</v>
      </c>
      <c r="AI186" s="10" t="s">
        <v>48</v>
      </c>
      <c r="AJ186" s="73">
        <f t="shared" si="4"/>
        <v>21</v>
      </c>
      <c r="AK186" s="73"/>
      <c r="AL186" s="181"/>
    </row>
    <row r="187" spans="2:38" ht="16.05" customHeight="1" x14ac:dyDescent="0.3">
      <c r="B187" s="109">
        <v>186</v>
      </c>
      <c r="C187" s="110" t="s">
        <v>595</v>
      </c>
      <c r="D187" s="42" t="s">
        <v>594</v>
      </c>
      <c r="E187" s="42" t="s">
        <v>90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 t="s">
        <v>48</v>
      </c>
      <c r="P187" s="10" t="s">
        <v>48</v>
      </c>
      <c r="Q187" s="10" t="s">
        <v>48</v>
      </c>
      <c r="R187" s="10" t="s">
        <v>48</v>
      </c>
      <c r="S187" s="10" t="s">
        <v>48</v>
      </c>
      <c r="T187" s="10" t="s">
        <v>48</v>
      </c>
      <c r="U187" s="10" t="s">
        <v>48</v>
      </c>
      <c r="V187" s="10" t="s">
        <v>48</v>
      </c>
      <c r="W187" s="10" t="s">
        <v>48</v>
      </c>
      <c r="X187" s="10" t="s">
        <v>48</v>
      </c>
      <c r="Y187" s="10" t="s">
        <v>48</v>
      </c>
      <c r="Z187" s="10" t="s">
        <v>48</v>
      </c>
      <c r="AA187" s="10"/>
      <c r="AB187" s="10"/>
      <c r="AC187" s="10"/>
      <c r="AD187" s="10"/>
      <c r="AE187" s="10" t="s">
        <v>48</v>
      </c>
      <c r="AF187" s="10" t="s">
        <v>48</v>
      </c>
      <c r="AG187" s="10" t="s">
        <v>48</v>
      </c>
      <c r="AH187" s="10" t="s">
        <v>48</v>
      </c>
      <c r="AI187" s="10"/>
      <c r="AJ187" s="73">
        <f t="shared" si="4"/>
        <v>16</v>
      </c>
      <c r="AK187" s="73"/>
      <c r="AL187" s="181"/>
    </row>
    <row r="188" spans="2:38" ht="16.05" customHeight="1" x14ac:dyDescent="0.3">
      <c r="B188" s="109">
        <v>187</v>
      </c>
      <c r="C188" s="10" t="s">
        <v>598</v>
      </c>
      <c r="D188" s="43" t="s">
        <v>597</v>
      </c>
      <c r="E188" s="43" t="s">
        <v>302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 t="s">
        <v>48</v>
      </c>
      <c r="Q188" s="10" t="s">
        <v>48</v>
      </c>
      <c r="R188" s="10" t="s">
        <v>48</v>
      </c>
      <c r="S188" s="10" t="s">
        <v>48</v>
      </c>
      <c r="T188" s="10" t="s">
        <v>48</v>
      </c>
      <c r="U188" s="10" t="s">
        <v>48</v>
      </c>
      <c r="V188" s="10" t="s">
        <v>48</v>
      </c>
      <c r="W188" s="10" t="s">
        <v>48</v>
      </c>
      <c r="X188" s="10"/>
      <c r="Y188" s="10"/>
      <c r="Z188" s="10" t="s">
        <v>48</v>
      </c>
      <c r="AA188" s="10" t="s">
        <v>48</v>
      </c>
      <c r="AB188" s="10" t="s">
        <v>48</v>
      </c>
      <c r="AC188" s="10" t="s">
        <v>48</v>
      </c>
      <c r="AD188" s="10"/>
      <c r="AE188" s="10"/>
      <c r="AF188" s="10"/>
      <c r="AG188" s="10"/>
      <c r="AH188" s="10" t="s">
        <v>48</v>
      </c>
      <c r="AI188" s="10" t="s">
        <v>48</v>
      </c>
      <c r="AJ188" s="73">
        <f t="shared" si="4"/>
        <v>14</v>
      </c>
      <c r="AK188" s="73"/>
      <c r="AL188" s="181"/>
    </row>
    <row r="189" spans="2:38" ht="16.05" customHeight="1" x14ac:dyDescent="0.3">
      <c r="B189" s="109">
        <v>188</v>
      </c>
      <c r="C189" s="110" t="s">
        <v>706</v>
      </c>
      <c r="D189" s="42" t="s">
        <v>387</v>
      </c>
      <c r="E189" s="42" t="s">
        <v>402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 t="s">
        <v>48</v>
      </c>
      <c r="V189" s="10" t="s">
        <v>48</v>
      </c>
      <c r="W189" s="10" t="s">
        <v>48</v>
      </c>
      <c r="X189" s="10" t="s">
        <v>48</v>
      </c>
      <c r="Y189" s="10" t="s">
        <v>48</v>
      </c>
      <c r="Z189" s="10" t="s">
        <v>48</v>
      </c>
      <c r="AA189" s="10" t="s">
        <v>48</v>
      </c>
      <c r="AB189" s="10" t="s">
        <v>48</v>
      </c>
      <c r="AC189" s="10" t="s">
        <v>48</v>
      </c>
      <c r="AD189" s="10" t="s">
        <v>48</v>
      </c>
      <c r="AE189" s="10"/>
      <c r="AF189" s="10"/>
      <c r="AG189" s="10" t="s">
        <v>48</v>
      </c>
      <c r="AH189" s="10" t="s">
        <v>48</v>
      </c>
      <c r="AI189" s="10" t="s">
        <v>48</v>
      </c>
      <c r="AJ189" s="73">
        <f t="shared" si="4"/>
        <v>13</v>
      </c>
      <c r="AK189" s="73"/>
      <c r="AL189" s="181"/>
    </row>
    <row r="190" spans="2:38" ht="16.05" customHeight="1" x14ac:dyDescent="0.3">
      <c r="B190" s="109">
        <v>189</v>
      </c>
      <c r="C190" s="10" t="s">
        <v>647</v>
      </c>
      <c r="D190" s="43" t="s">
        <v>645</v>
      </c>
      <c r="E190" s="43" t="s">
        <v>646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 t="s">
        <v>48</v>
      </c>
      <c r="W190" s="10" t="s">
        <v>48</v>
      </c>
      <c r="X190" s="10" t="s">
        <v>48</v>
      </c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73">
        <f t="shared" si="4"/>
        <v>3</v>
      </c>
      <c r="AK190" s="73"/>
      <c r="AL190" s="181"/>
    </row>
    <row r="191" spans="2:38" ht="16.05" customHeight="1" x14ac:dyDescent="0.3">
      <c r="B191" s="109">
        <v>190</v>
      </c>
      <c r="C191" s="110" t="s">
        <v>649</v>
      </c>
      <c r="D191" s="42" t="s">
        <v>648</v>
      </c>
      <c r="E191" s="42" t="s">
        <v>631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 t="s">
        <v>48</v>
      </c>
      <c r="W191" s="10" t="s">
        <v>48</v>
      </c>
      <c r="X191" s="10" t="s">
        <v>48</v>
      </c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73">
        <f t="shared" si="4"/>
        <v>3</v>
      </c>
      <c r="AK191" s="73"/>
      <c r="AL191" s="181"/>
    </row>
    <row r="192" spans="2:38" ht="16.05" customHeight="1" x14ac:dyDescent="0.3">
      <c r="B192" s="109">
        <v>191</v>
      </c>
      <c r="C192" s="10" t="s">
        <v>642</v>
      </c>
      <c r="D192" s="43" t="s">
        <v>640</v>
      </c>
      <c r="E192" s="43" t="s">
        <v>641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 t="s">
        <v>48</v>
      </c>
      <c r="W192" s="10" t="s">
        <v>48</v>
      </c>
      <c r="X192" s="10" t="s">
        <v>48</v>
      </c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73">
        <f t="shared" si="4"/>
        <v>3</v>
      </c>
      <c r="AK192" s="73"/>
      <c r="AL192" s="181"/>
    </row>
    <row r="193" spans="2:38" ht="16.05" customHeight="1" x14ac:dyDescent="0.3">
      <c r="B193" s="109">
        <v>192</v>
      </c>
      <c r="C193" s="110" t="s">
        <v>707</v>
      </c>
      <c r="D193" s="42" t="s">
        <v>709</v>
      </c>
      <c r="E193" s="42" t="s">
        <v>641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 t="s">
        <v>48</v>
      </c>
      <c r="AF193" s="10" t="s">
        <v>48</v>
      </c>
      <c r="AG193" s="10" t="s">
        <v>48</v>
      </c>
      <c r="AH193" s="10" t="s">
        <v>48</v>
      </c>
      <c r="AI193" s="10" t="s">
        <v>48</v>
      </c>
      <c r="AJ193" s="73">
        <f t="shared" si="4"/>
        <v>5</v>
      </c>
      <c r="AK193" s="73"/>
      <c r="AL193" s="181"/>
    </row>
    <row r="194" spans="2:38" ht="16.05" customHeight="1" x14ac:dyDescent="0.3">
      <c r="B194" s="109">
        <v>193</v>
      </c>
      <c r="C194" s="110" t="s">
        <v>708</v>
      </c>
      <c r="D194" s="42" t="s">
        <v>710</v>
      </c>
      <c r="E194" s="42" t="s">
        <v>711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 t="s">
        <v>48</v>
      </c>
      <c r="AG194" s="10" t="s">
        <v>48</v>
      </c>
      <c r="AH194" s="10" t="s">
        <v>48</v>
      </c>
      <c r="AI194" s="10"/>
      <c r="AJ194" s="73">
        <f t="shared" si="4"/>
        <v>3</v>
      </c>
      <c r="AK194" s="73"/>
      <c r="AL194" s="181"/>
    </row>
    <row r="195" spans="2:38" ht="16.05" customHeight="1" x14ac:dyDescent="0.3">
      <c r="B195" s="109">
        <v>194</v>
      </c>
      <c r="C195" s="10" t="s">
        <v>675</v>
      </c>
      <c r="D195" s="43" t="s">
        <v>674</v>
      </c>
      <c r="E195" s="43" t="s">
        <v>159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 t="s">
        <v>48</v>
      </c>
      <c r="AE195" s="10" t="s">
        <v>48</v>
      </c>
      <c r="AF195" s="10" t="s">
        <v>48</v>
      </c>
      <c r="AG195" s="10" t="s">
        <v>48</v>
      </c>
      <c r="AH195" s="10"/>
      <c r="AI195" s="10"/>
      <c r="AJ195" s="73">
        <f t="shared" si="4"/>
        <v>4</v>
      </c>
      <c r="AK195" s="73"/>
      <c r="AL195" s="181"/>
    </row>
    <row r="196" spans="2:38" ht="16.05" customHeight="1" x14ac:dyDescent="0.3">
      <c r="B196" s="109">
        <v>195</v>
      </c>
      <c r="C196" s="110" t="s">
        <v>673</v>
      </c>
      <c r="D196" s="42" t="s">
        <v>672</v>
      </c>
      <c r="E196" s="42" t="s">
        <v>577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 t="s">
        <v>48</v>
      </c>
      <c r="AE196" s="10" t="s">
        <v>48</v>
      </c>
      <c r="AF196" s="10" t="s">
        <v>48</v>
      </c>
      <c r="AG196" s="10" t="s">
        <v>48</v>
      </c>
      <c r="AH196" s="10"/>
      <c r="AI196" s="10"/>
      <c r="AJ196" s="73">
        <f t="shared" si="4"/>
        <v>4</v>
      </c>
      <c r="AK196" s="73"/>
      <c r="AL196" s="181"/>
    </row>
    <row r="197" spans="2:38" ht="16.05" customHeight="1" x14ac:dyDescent="0.3">
      <c r="B197" s="109">
        <v>196</v>
      </c>
      <c r="C197" s="10" t="s">
        <v>669</v>
      </c>
      <c r="D197" s="43" t="s">
        <v>667</v>
      </c>
      <c r="E197" s="43" t="s">
        <v>668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 t="s">
        <v>48</v>
      </c>
      <c r="AD197" s="10" t="s">
        <v>48</v>
      </c>
      <c r="AE197" s="10" t="s">
        <v>48</v>
      </c>
      <c r="AF197" s="10"/>
      <c r="AG197" s="10"/>
      <c r="AH197" s="10"/>
      <c r="AI197" s="10"/>
      <c r="AJ197" s="73">
        <f t="shared" si="4"/>
        <v>3</v>
      </c>
      <c r="AK197" s="73"/>
      <c r="AL197" s="181"/>
    </row>
    <row r="198" spans="2:38" ht="16.05" customHeight="1" x14ac:dyDescent="0.3">
      <c r="B198" s="109">
        <v>197</v>
      </c>
      <c r="C198" s="110" t="s">
        <v>614</v>
      </c>
      <c r="D198" s="42" t="s">
        <v>612</v>
      </c>
      <c r="E198" s="42" t="s">
        <v>613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 t="s">
        <v>48</v>
      </c>
      <c r="T198" s="10" t="s">
        <v>48</v>
      </c>
      <c r="U198" s="10" t="s">
        <v>48</v>
      </c>
      <c r="V198" s="10" t="s">
        <v>48</v>
      </c>
      <c r="W198" s="10"/>
      <c r="X198" s="10"/>
      <c r="Y198" s="10" t="s">
        <v>48</v>
      </c>
      <c r="Z198" s="10" t="s">
        <v>48</v>
      </c>
      <c r="AA198" s="10" t="s">
        <v>48</v>
      </c>
      <c r="AB198" s="10" t="s">
        <v>48</v>
      </c>
      <c r="AC198" s="10" t="s">
        <v>48</v>
      </c>
      <c r="AD198" s="10" t="s">
        <v>48</v>
      </c>
      <c r="AE198" s="10" t="s">
        <v>48</v>
      </c>
      <c r="AF198" s="10"/>
      <c r="AG198" s="10" t="s">
        <v>48</v>
      </c>
      <c r="AH198" s="10" t="s">
        <v>48</v>
      </c>
      <c r="AI198" s="10" t="s">
        <v>48</v>
      </c>
      <c r="AJ198" s="73">
        <f t="shared" si="4"/>
        <v>14</v>
      </c>
      <c r="AK198" s="73"/>
      <c r="AL198" s="181"/>
    </row>
    <row r="199" spans="2:38" ht="16.05" customHeight="1" x14ac:dyDescent="0.3">
      <c r="B199" s="109">
        <v>198</v>
      </c>
      <c r="C199" s="10" t="s">
        <v>661</v>
      </c>
      <c r="D199" s="43" t="s">
        <v>85</v>
      </c>
      <c r="E199" s="43" t="s">
        <v>171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 t="s">
        <v>48</v>
      </c>
      <c r="AA199" s="10" t="s">
        <v>48</v>
      </c>
      <c r="AB199" s="10" t="s">
        <v>48</v>
      </c>
      <c r="AC199" s="10"/>
      <c r="AD199" s="10"/>
      <c r="AE199" s="10"/>
      <c r="AF199" s="10"/>
      <c r="AG199" s="10"/>
      <c r="AH199" s="10"/>
      <c r="AI199" s="10"/>
      <c r="AJ199" s="73">
        <f t="shared" si="4"/>
        <v>3</v>
      </c>
      <c r="AK199" s="73"/>
      <c r="AL199" s="181"/>
    </row>
    <row r="200" spans="2:38" ht="16.05" customHeight="1" x14ac:dyDescent="0.3">
      <c r="B200" s="109">
        <v>199</v>
      </c>
      <c r="C200" s="110" t="s">
        <v>677</v>
      </c>
      <c r="D200" s="42" t="s">
        <v>676</v>
      </c>
      <c r="E200" s="42" t="s">
        <v>232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 t="s">
        <v>48</v>
      </c>
      <c r="AE200" s="10" t="s">
        <v>48</v>
      </c>
      <c r="AF200" s="10" t="s">
        <v>48</v>
      </c>
      <c r="AG200" s="10" t="s">
        <v>48</v>
      </c>
      <c r="AH200" s="10"/>
      <c r="AI200" s="10"/>
      <c r="AJ200" s="73">
        <f t="shared" si="4"/>
        <v>4</v>
      </c>
      <c r="AK200" s="73"/>
      <c r="AL200" s="181"/>
    </row>
    <row r="201" spans="2:38" ht="16.05" customHeight="1" x14ac:dyDescent="0.3">
      <c r="B201" s="109">
        <v>200</v>
      </c>
      <c r="C201" s="10" t="s">
        <v>653</v>
      </c>
      <c r="D201" s="43" t="s">
        <v>651</v>
      </c>
      <c r="E201" s="43" t="s">
        <v>652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 t="s">
        <v>48</v>
      </c>
      <c r="X201" s="10" t="s">
        <v>48</v>
      </c>
      <c r="Y201" s="10" t="s">
        <v>48</v>
      </c>
      <c r="Z201" s="10" t="s">
        <v>48</v>
      </c>
      <c r="AA201" s="10" t="s">
        <v>48</v>
      </c>
      <c r="AB201" s="10" t="s">
        <v>48</v>
      </c>
      <c r="AC201" s="10" t="s">
        <v>48</v>
      </c>
      <c r="AD201" s="10" t="s">
        <v>48</v>
      </c>
      <c r="AE201" s="10" t="s">
        <v>48</v>
      </c>
      <c r="AF201" s="10" t="s">
        <v>48</v>
      </c>
      <c r="AG201" s="10" t="s">
        <v>48</v>
      </c>
      <c r="AH201" s="10" t="s">
        <v>48</v>
      </c>
      <c r="AI201" s="10" t="s">
        <v>48</v>
      </c>
      <c r="AJ201" s="73">
        <f t="shared" si="4"/>
        <v>13</v>
      </c>
      <c r="AK201" s="73"/>
      <c r="AL201" s="181"/>
    </row>
    <row r="202" spans="2:38" ht="16.05" customHeight="1" x14ac:dyDescent="0.3">
      <c r="B202" s="109">
        <v>201</v>
      </c>
      <c r="C202" s="110" t="s">
        <v>657</v>
      </c>
      <c r="D202" s="42" t="s">
        <v>655</v>
      </c>
      <c r="E202" s="42" t="s">
        <v>656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 t="s">
        <v>48</v>
      </c>
      <c r="Y202" s="10" t="s">
        <v>48</v>
      </c>
      <c r="Z202" s="10" t="s">
        <v>48</v>
      </c>
      <c r="AA202" s="10" t="s">
        <v>48</v>
      </c>
      <c r="AB202" s="10" t="s">
        <v>412</v>
      </c>
      <c r="AC202" s="10" t="s">
        <v>48</v>
      </c>
      <c r="AD202" s="10"/>
      <c r="AE202" s="10" t="s">
        <v>48</v>
      </c>
      <c r="AF202" s="10" t="s">
        <v>48</v>
      </c>
      <c r="AG202" s="10" t="s">
        <v>48</v>
      </c>
      <c r="AH202" s="10" t="s">
        <v>48</v>
      </c>
      <c r="AI202" s="10" t="s">
        <v>48</v>
      </c>
      <c r="AJ202" s="73">
        <f t="shared" si="4"/>
        <v>12</v>
      </c>
      <c r="AK202" s="73"/>
      <c r="AL202" s="181"/>
    </row>
    <row r="203" spans="2:38" ht="16.05" customHeight="1" x14ac:dyDescent="0.3">
      <c r="B203" s="109">
        <v>202</v>
      </c>
      <c r="C203" s="10" t="s">
        <v>666</v>
      </c>
      <c r="D203" s="43" t="s">
        <v>540</v>
      </c>
      <c r="E203" s="43" t="s">
        <v>541</v>
      </c>
      <c r="F203" s="10"/>
      <c r="G203" s="10"/>
      <c r="H203" s="10"/>
      <c r="I203" s="10"/>
      <c r="J203" s="10"/>
      <c r="K203" s="10"/>
      <c r="L203" s="10" t="s">
        <v>48</v>
      </c>
      <c r="M203" s="10" t="s">
        <v>48</v>
      </c>
      <c r="N203" s="10" t="s">
        <v>48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 t="s">
        <v>48</v>
      </c>
      <c r="AB203" s="10" t="s">
        <v>48</v>
      </c>
      <c r="AC203" s="10" t="s">
        <v>48</v>
      </c>
      <c r="AD203" s="10" t="s">
        <v>48</v>
      </c>
      <c r="AE203" s="10"/>
      <c r="AF203" s="10"/>
      <c r="AG203" s="10" t="s">
        <v>48</v>
      </c>
      <c r="AH203" s="10" t="s">
        <v>48</v>
      </c>
      <c r="AI203" s="10"/>
      <c r="AJ203" s="73">
        <f t="shared" si="4"/>
        <v>9</v>
      </c>
      <c r="AK203" s="73"/>
      <c r="AL203" s="181"/>
    </row>
    <row r="204" spans="2:38" ht="16.05" customHeight="1" x14ac:dyDescent="0.3">
      <c r="B204" s="109">
        <v>203</v>
      </c>
      <c r="C204" s="110" t="s">
        <v>654</v>
      </c>
      <c r="D204" s="42" t="s">
        <v>428</v>
      </c>
      <c r="E204" s="42" t="s">
        <v>555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 t="s">
        <v>48</v>
      </c>
      <c r="T204" s="10" t="s">
        <v>48</v>
      </c>
      <c r="U204" s="10" t="s">
        <v>48</v>
      </c>
      <c r="V204" s="10" t="s">
        <v>48</v>
      </c>
      <c r="W204" s="10" t="s">
        <v>48</v>
      </c>
      <c r="X204" s="10" t="s">
        <v>48</v>
      </c>
      <c r="Y204" s="10" t="s">
        <v>48</v>
      </c>
      <c r="Z204" s="10" t="s">
        <v>48</v>
      </c>
      <c r="AA204" s="10" t="s">
        <v>48</v>
      </c>
      <c r="AB204" s="10" t="s">
        <v>48</v>
      </c>
      <c r="AC204" s="10" t="s">
        <v>48</v>
      </c>
      <c r="AD204" s="10" t="s">
        <v>48</v>
      </c>
      <c r="AE204" s="10" t="s">
        <v>48</v>
      </c>
      <c r="AF204" s="10" t="s">
        <v>48</v>
      </c>
      <c r="AG204" s="10" t="s">
        <v>48</v>
      </c>
      <c r="AH204" s="10" t="s">
        <v>48</v>
      </c>
      <c r="AI204" s="10" t="s">
        <v>48</v>
      </c>
      <c r="AJ204" s="73">
        <f t="shared" si="4"/>
        <v>17</v>
      </c>
      <c r="AK204" s="73"/>
      <c r="AL204" s="181"/>
    </row>
    <row r="205" spans="2:38" ht="16.05" customHeight="1" x14ac:dyDescent="0.3">
      <c r="B205" s="109">
        <v>204</v>
      </c>
      <c r="C205" s="10"/>
      <c r="D205" s="153" t="s">
        <v>714</v>
      </c>
      <c r="E205" s="43" t="s">
        <v>397</v>
      </c>
      <c r="F205" s="10" t="s">
        <v>48</v>
      </c>
      <c r="G205" s="10"/>
      <c r="H205" s="10" t="s">
        <v>48</v>
      </c>
      <c r="I205" s="10" t="s">
        <v>48</v>
      </c>
      <c r="J205" s="10" t="s">
        <v>48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73">
        <f t="shared" si="4"/>
        <v>4</v>
      </c>
      <c r="AK205" s="73"/>
      <c r="AL205" s="181"/>
    </row>
    <row r="206" spans="2:38" ht="16.05" customHeight="1" x14ac:dyDescent="0.3">
      <c r="B206" s="109">
        <v>205</v>
      </c>
      <c r="C206" s="110" t="s">
        <v>797</v>
      </c>
      <c r="D206" s="153" t="s">
        <v>536</v>
      </c>
      <c r="E206" s="43" t="s">
        <v>537</v>
      </c>
      <c r="F206" s="10"/>
      <c r="G206" s="10"/>
      <c r="H206" s="10"/>
      <c r="I206" s="10"/>
      <c r="J206" s="10"/>
      <c r="K206" s="10" t="s">
        <v>48</v>
      </c>
      <c r="L206" s="10" t="s">
        <v>48</v>
      </c>
      <c r="M206" s="10" t="s">
        <v>48</v>
      </c>
      <c r="N206" s="10"/>
      <c r="O206" s="10"/>
      <c r="P206" s="10"/>
      <c r="Q206" s="10"/>
      <c r="R206" s="10" t="s">
        <v>48</v>
      </c>
      <c r="S206" s="10" t="s">
        <v>48</v>
      </c>
      <c r="T206" s="10" t="s">
        <v>48</v>
      </c>
      <c r="U206" s="10" t="s">
        <v>48</v>
      </c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73">
        <f t="shared" si="4"/>
        <v>7</v>
      </c>
      <c r="AK206" s="73"/>
      <c r="AL206" s="181"/>
    </row>
    <row r="207" spans="2:38" ht="16.05" customHeight="1" x14ac:dyDescent="0.3">
      <c r="B207" s="109">
        <v>206</v>
      </c>
      <c r="C207" s="110" t="s">
        <v>798</v>
      </c>
      <c r="D207" s="154" t="s">
        <v>538</v>
      </c>
      <c r="E207" s="43" t="s">
        <v>539</v>
      </c>
      <c r="F207" s="10"/>
      <c r="G207" s="10"/>
      <c r="H207" s="10"/>
      <c r="I207" s="10"/>
      <c r="J207" s="10"/>
      <c r="K207" s="10" t="s">
        <v>48</v>
      </c>
      <c r="L207" s="10" t="s">
        <v>48</v>
      </c>
      <c r="M207" s="10" t="s">
        <v>48</v>
      </c>
      <c r="N207" s="10" t="s">
        <v>48</v>
      </c>
      <c r="O207" s="10" t="s">
        <v>48</v>
      </c>
      <c r="P207" s="10" t="s">
        <v>48</v>
      </c>
      <c r="Q207" s="10"/>
      <c r="R207" s="10" t="s">
        <v>48</v>
      </c>
      <c r="S207" s="10" t="s">
        <v>48</v>
      </c>
      <c r="T207" s="10" t="s">
        <v>48</v>
      </c>
      <c r="U207" s="10" t="s">
        <v>48</v>
      </c>
      <c r="V207" s="10"/>
      <c r="W207" s="10" t="s">
        <v>48</v>
      </c>
      <c r="X207" s="10" t="s">
        <v>48</v>
      </c>
      <c r="Y207" s="10" t="s">
        <v>48</v>
      </c>
      <c r="Z207" s="10" t="s">
        <v>48</v>
      </c>
      <c r="AA207" s="10" t="s">
        <v>48</v>
      </c>
      <c r="AB207" s="10" t="s">
        <v>48</v>
      </c>
      <c r="AC207" s="10" t="s">
        <v>48</v>
      </c>
      <c r="AD207" s="10" t="s">
        <v>48</v>
      </c>
      <c r="AE207" s="10" t="s">
        <v>48</v>
      </c>
      <c r="AF207" s="10" t="s">
        <v>48</v>
      </c>
      <c r="AG207" s="10"/>
      <c r="AH207" s="10" t="s">
        <v>48</v>
      </c>
      <c r="AI207" s="10" t="s">
        <v>48</v>
      </c>
      <c r="AJ207" s="73">
        <f t="shared" si="4"/>
        <v>22</v>
      </c>
      <c r="AK207" s="73"/>
      <c r="AL207" s="181"/>
    </row>
    <row r="208" spans="2:38" ht="16.05" customHeight="1" x14ac:dyDescent="0.3">
      <c r="B208" s="109">
        <v>207</v>
      </c>
      <c r="C208" s="10" t="s">
        <v>767</v>
      </c>
      <c r="D208" s="153" t="s">
        <v>542</v>
      </c>
      <c r="E208" s="43" t="s">
        <v>543</v>
      </c>
      <c r="F208" s="10"/>
      <c r="G208" s="10"/>
      <c r="H208" s="10"/>
      <c r="I208" s="10"/>
      <c r="J208" s="10"/>
      <c r="K208" s="10"/>
      <c r="L208" s="10" t="s">
        <v>48</v>
      </c>
      <c r="M208" s="10" t="s">
        <v>48</v>
      </c>
      <c r="N208" s="10" t="s">
        <v>48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73">
        <f t="shared" si="4"/>
        <v>3</v>
      </c>
      <c r="AK208" s="73"/>
      <c r="AL208" s="181"/>
    </row>
    <row r="209" spans="2:38" ht="16.05" customHeight="1" x14ac:dyDescent="0.3">
      <c r="B209" s="109">
        <v>208</v>
      </c>
      <c r="C209" s="10"/>
      <c r="D209" s="155" t="s">
        <v>687</v>
      </c>
      <c r="E209" s="42" t="s">
        <v>715</v>
      </c>
      <c r="F209" s="10"/>
      <c r="G209" s="10"/>
      <c r="H209" s="10"/>
      <c r="I209" s="10"/>
      <c r="J209" s="10"/>
      <c r="K209" s="10"/>
      <c r="L209" s="10" t="s">
        <v>48</v>
      </c>
      <c r="M209" s="10" t="s">
        <v>48</v>
      </c>
      <c r="N209" s="10" t="s">
        <v>48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73">
        <f t="shared" si="4"/>
        <v>3</v>
      </c>
      <c r="AK209" s="73"/>
      <c r="AL209" s="181"/>
    </row>
    <row r="210" spans="2:38" ht="16.05" customHeight="1" x14ac:dyDescent="0.3">
      <c r="B210" s="109">
        <v>209</v>
      </c>
      <c r="C210" s="10"/>
      <c r="D210" s="156" t="s">
        <v>546</v>
      </c>
      <c r="E210" s="43" t="s">
        <v>716</v>
      </c>
      <c r="F210" s="10"/>
      <c r="G210" s="10"/>
      <c r="H210" s="10"/>
      <c r="I210" s="10"/>
      <c r="J210" s="10"/>
      <c r="K210" s="10"/>
      <c r="L210" s="10" t="s">
        <v>48</v>
      </c>
      <c r="M210" s="10" t="s">
        <v>48</v>
      </c>
      <c r="N210" s="10" t="s">
        <v>48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73">
        <f t="shared" si="4"/>
        <v>3</v>
      </c>
      <c r="AK210" s="73"/>
      <c r="AL210" s="181"/>
    </row>
    <row r="211" spans="2:38" ht="16.05" customHeight="1" x14ac:dyDescent="0.3">
      <c r="B211" s="109">
        <v>210</v>
      </c>
      <c r="C211" s="10"/>
      <c r="D211" s="156" t="s">
        <v>717</v>
      </c>
      <c r="E211" s="43" t="s">
        <v>549</v>
      </c>
      <c r="F211" s="10"/>
      <c r="G211" s="10"/>
      <c r="H211" s="10"/>
      <c r="I211" s="10"/>
      <c r="J211" s="10"/>
      <c r="K211" s="10"/>
      <c r="L211" s="10" t="s">
        <v>48</v>
      </c>
      <c r="M211" s="10" t="s">
        <v>48</v>
      </c>
      <c r="N211" s="10" t="s">
        <v>48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73">
        <f t="shared" si="4"/>
        <v>3</v>
      </c>
      <c r="AK211" s="73"/>
      <c r="AL211" s="181"/>
    </row>
    <row r="212" spans="2:38" ht="16.05" customHeight="1" x14ac:dyDescent="0.3">
      <c r="B212" s="109">
        <v>211</v>
      </c>
      <c r="C212" s="110" t="s">
        <v>799</v>
      </c>
      <c r="D212" s="43" t="s">
        <v>551</v>
      </c>
      <c r="E212" s="43" t="s">
        <v>552</v>
      </c>
      <c r="F212" s="10"/>
      <c r="G212" s="10"/>
      <c r="H212" s="10"/>
      <c r="I212" s="10"/>
      <c r="J212" s="10"/>
      <c r="K212" s="10"/>
      <c r="L212" s="10" t="s">
        <v>48</v>
      </c>
      <c r="M212" s="10" t="s">
        <v>48</v>
      </c>
      <c r="N212" s="10" t="s">
        <v>48</v>
      </c>
      <c r="O212" s="10" t="s">
        <v>48</v>
      </c>
      <c r="P212" s="10"/>
      <c r="Q212" s="10" t="s">
        <v>48</v>
      </c>
      <c r="R212" s="10" t="s">
        <v>48</v>
      </c>
      <c r="S212" s="10" t="s">
        <v>48</v>
      </c>
      <c r="T212" s="10" t="s">
        <v>48</v>
      </c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73">
        <f t="shared" si="4"/>
        <v>8</v>
      </c>
      <c r="AK212" s="73"/>
      <c r="AL212" s="181"/>
    </row>
    <row r="213" spans="2:38" ht="16.05" customHeight="1" x14ac:dyDescent="0.3">
      <c r="B213" s="109">
        <v>212</v>
      </c>
      <c r="C213" s="110" t="s">
        <v>800</v>
      </c>
      <c r="D213" s="43" t="s">
        <v>557</v>
      </c>
      <c r="E213" s="43" t="s">
        <v>558</v>
      </c>
      <c r="F213" s="10"/>
      <c r="G213" s="10"/>
      <c r="H213" s="10"/>
      <c r="I213" s="10"/>
      <c r="J213" s="10"/>
      <c r="K213" s="10"/>
      <c r="L213" s="10"/>
      <c r="M213" s="10" t="s">
        <v>48</v>
      </c>
      <c r="N213" s="10" t="s">
        <v>48</v>
      </c>
      <c r="O213" s="10" t="s">
        <v>48</v>
      </c>
      <c r="P213" s="10" t="s">
        <v>48</v>
      </c>
      <c r="Q213" s="10"/>
      <c r="R213" s="10" t="s">
        <v>48</v>
      </c>
      <c r="S213" s="10"/>
      <c r="T213" s="10" t="s">
        <v>48</v>
      </c>
      <c r="U213" s="10" t="s">
        <v>48</v>
      </c>
      <c r="V213" s="10" t="s">
        <v>48</v>
      </c>
      <c r="W213" s="10" t="s">
        <v>48</v>
      </c>
      <c r="X213" s="10"/>
      <c r="Y213" s="10" t="s">
        <v>48</v>
      </c>
      <c r="Z213" s="10"/>
      <c r="AA213" s="10" t="s">
        <v>48</v>
      </c>
      <c r="AB213" s="10" t="s">
        <v>48</v>
      </c>
      <c r="AC213" s="10" t="s">
        <v>48</v>
      </c>
      <c r="AD213" s="10" t="s">
        <v>48</v>
      </c>
      <c r="AE213" s="10"/>
      <c r="AF213" s="10" t="s">
        <v>48</v>
      </c>
      <c r="AG213" s="10"/>
      <c r="AH213" s="10" t="s">
        <v>48</v>
      </c>
      <c r="AI213" s="10"/>
      <c r="AJ213" s="73">
        <f t="shared" si="4"/>
        <v>16</v>
      </c>
      <c r="AK213" s="73"/>
      <c r="AL213" s="181"/>
    </row>
    <row r="214" spans="2:38" ht="16.05" customHeight="1" x14ac:dyDescent="0.3">
      <c r="B214" s="109">
        <v>213</v>
      </c>
      <c r="C214" s="10" t="s">
        <v>801</v>
      </c>
      <c r="D214" s="43" t="s">
        <v>560</v>
      </c>
      <c r="E214" s="43" t="s">
        <v>134</v>
      </c>
      <c r="F214" s="10"/>
      <c r="G214" s="10"/>
      <c r="H214" s="10"/>
      <c r="I214" s="10"/>
      <c r="J214" s="10"/>
      <c r="K214" s="10"/>
      <c r="L214" s="10"/>
      <c r="M214" s="10" t="s">
        <v>48</v>
      </c>
      <c r="N214" s="10" t="s">
        <v>48</v>
      </c>
      <c r="O214" s="10" t="s">
        <v>48</v>
      </c>
      <c r="P214" s="10" t="s">
        <v>48</v>
      </c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73">
        <f t="shared" si="4"/>
        <v>4</v>
      </c>
      <c r="AK214" s="73"/>
      <c r="AL214" s="181"/>
    </row>
    <row r="215" spans="2:38" ht="16.05" customHeight="1" x14ac:dyDescent="0.3">
      <c r="B215" s="109">
        <v>214</v>
      </c>
      <c r="C215" s="110" t="s">
        <v>768</v>
      </c>
      <c r="D215" s="43" t="s">
        <v>599</v>
      </c>
      <c r="E215" s="43" t="s">
        <v>600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 t="s">
        <v>48</v>
      </c>
      <c r="R215" s="10" t="s">
        <v>48</v>
      </c>
      <c r="S215" s="10" t="s">
        <v>48</v>
      </c>
      <c r="T215" s="10" t="s">
        <v>48</v>
      </c>
      <c r="U215" s="10" t="s">
        <v>48</v>
      </c>
      <c r="V215" s="10" t="s">
        <v>48</v>
      </c>
      <c r="W215" s="10" t="s">
        <v>48</v>
      </c>
      <c r="X215" s="10" t="s">
        <v>48</v>
      </c>
      <c r="Y215" s="10" t="s">
        <v>48</v>
      </c>
      <c r="Z215" s="10" t="s">
        <v>48</v>
      </c>
      <c r="AA215" s="10" t="s">
        <v>48</v>
      </c>
      <c r="AB215" s="10" t="s">
        <v>48</v>
      </c>
      <c r="AC215" s="10" t="s">
        <v>48</v>
      </c>
      <c r="AD215" s="10" t="s">
        <v>48</v>
      </c>
      <c r="AE215" s="10" t="s">
        <v>48</v>
      </c>
      <c r="AF215" s="10" t="s">
        <v>48</v>
      </c>
      <c r="AG215" s="10" t="s">
        <v>48</v>
      </c>
      <c r="AH215" s="10" t="s">
        <v>48</v>
      </c>
      <c r="AI215" s="10" t="s">
        <v>48</v>
      </c>
      <c r="AJ215" s="73">
        <f t="shared" si="4"/>
        <v>19</v>
      </c>
      <c r="AK215" s="73"/>
      <c r="AL215" s="181"/>
    </row>
    <row r="216" spans="2:38" ht="16.05" customHeight="1" x14ac:dyDescent="0.3">
      <c r="B216" s="109">
        <v>215</v>
      </c>
      <c r="C216" s="118"/>
      <c r="D216" s="153" t="s">
        <v>718</v>
      </c>
      <c r="E216" s="43" t="s">
        <v>605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 t="s">
        <v>48</v>
      </c>
      <c r="S216" s="10" t="s">
        <v>48</v>
      </c>
      <c r="T216" s="10" t="s">
        <v>48</v>
      </c>
      <c r="U216" s="10" t="s">
        <v>48</v>
      </c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73">
        <f t="shared" si="4"/>
        <v>4</v>
      </c>
      <c r="AK216" s="73"/>
      <c r="AL216" s="181"/>
    </row>
    <row r="217" spans="2:38" ht="16.05" customHeight="1" x14ac:dyDescent="0.3">
      <c r="B217" s="109">
        <v>216</v>
      </c>
      <c r="C217" s="10">
        <v>33244</v>
      </c>
      <c r="D217" s="43" t="s">
        <v>719</v>
      </c>
      <c r="E217" s="43" t="s">
        <v>607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 t="s">
        <v>48</v>
      </c>
      <c r="S217" s="10" t="s">
        <v>48</v>
      </c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73">
        <f t="shared" si="4"/>
        <v>2</v>
      </c>
      <c r="AK217" s="73"/>
      <c r="AL217" s="181"/>
    </row>
    <row r="218" spans="2:38" ht="16.05" customHeight="1" x14ac:dyDescent="0.3">
      <c r="B218" s="109">
        <v>217</v>
      </c>
      <c r="C218" s="10">
        <v>33249</v>
      </c>
      <c r="D218" s="43" t="s">
        <v>720</v>
      </c>
      <c r="E218" s="43" t="s">
        <v>609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 t="s">
        <v>48</v>
      </c>
      <c r="S218" s="10" t="s">
        <v>48</v>
      </c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73">
        <f t="shared" si="4"/>
        <v>2</v>
      </c>
      <c r="AK218" s="73"/>
      <c r="AL218" s="181"/>
    </row>
    <row r="219" spans="2:38" ht="16.05" customHeight="1" x14ac:dyDescent="0.3">
      <c r="B219" s="109">
        <v>218</v>
      </c>
      <c r="C219" s="10"/>
      <c r="D219" s="156" t="s">
        <v>448</v>
      </c>
      <c r="E219" s="43" t="s">
        <v>721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 t="s">
        <v>48</v>
      </c>
      <c r="S219" s="10" t="s">
        <v>48</v>
      </c>
      <c r="T219" s="10" t="s">
        <v>48</v>
      </c>
      <c r="U219" s="10" t="s">
        <v>48</v>
      </c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73">
        <f t="shared" si="4"/>
        <v>4</v>
      </c>
      <c r="AK219" s="73"/>
      <c r="AL219" s="181"/>
    </row>
    <row r="220" spans="2:38" ht="16.05" customHeight="1" x14ac:dyDescent="0.3">
      <c r="B220" s="109">
        <v>219</v>
      </c>
      <c r="C220" s="110" t="s">
        <v>802</v>
      </c>
      <c r="D220" s="43" t="s">
        <v>622</v>
      </c>
      <c r="E220" s="43" t="s">
        <v>428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 t="s">
        <v>48</v>
      </c>
      <c r="U220" s="10" t="s">
        <v>48</v>
      </c>
      <c r="V220" s="10" t="s">
        <v>48</v>
      </c>
      <c r="W220" s="10" t="s">
        <v>48</v>
      </c>
      <c r="X220" s="10"/>
      <c r="Y220" s="10" t="s">
        <v>48</v>
      </c>
      <c r="Z220" s="10" t="s">
        <v>48</v>
      </c>
      <c r="AA220" s="10" t="s">
        <v>48</v>
      </c>
      <c r="AB220" s="10" t="s">
        <v>48</v>
      </c>
      <c r="AC220" s="10" t="s">
        <v>48</v>
      </c>
      <c r="AD220" s="10" t="s">
        <v>48</v>
      </c>
      <c r="AE220" s="10"/>
      <c r="AF220" s="10"/>
      <c r="AG220" s="10"/>
      <c r="AH220" s="10"/>
      <c r="AI220" s="10"/>
      <c r="AJ220" s="73">
        <f t="shared" si="4"/>
        <v>10</v>
      </c>
      <c r="AK220" s="73"/>
      <c r="AL220" s="181"/>
    </row>
    <row r="221" spans="2:38" ht="16.05" customHeight="1" x14ac:dyDescent="0.3">
      <c r="B221" s="109">
        <v>220</v>
      </c>
      <c r="C221" s="10"/>
      <c r="D221" s="43" t="s">
        <v>149</v>
      </c>
      <c r="E221" s="43" t="s">
        <v>633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 t="s">
        <v>48</v>
      </c>
      <c r="U221" s="10" t="s">
        <v>48</v>
      </c>
      <c r="V221" s="10" t="s">
        <v>48</v>
      </c>
      <c r="W221" s="10" t="s">
        <v>48</v>
      </c>
      <c r="X221" s="10" t="s">
        <v>48</v>
      </c>
      <c r="Y221" s="10"/>
      <c r="Z221" s="10"/>
      <c r="AA221" s="10"/>
      <c r="AB221" s="10" t="s">
        <v>48</v>
      </c>
      <c r="AC221" s="10" t="s">
        <v>48</v>
      </c>
      <c r="AD221" s="10"/>
      <c r="AE221" s="10"/>
      <c r="AF221" s="10"/>
      <c r="AG221" s="10"/>
      <c r="AH221" s="10"/>
      <c r="AI221" s="10"/>
      <c r="AJ221" s="73">
        <f t="shared" si="4"/>
        <v>7</v>
      </c>
      <c r="AK221" s="73"/>
      <c r="AL221" s="181"/>
    </row>
    <row r="222" spans="2:38" ht="16.05" customHeight="1" x14ac:dyDescent="0.3">
      <c r="B222" s="109">
        <v>221</v>
      </c>
      <c r="C222" s="110" t="s">
        <v>759</v>
      </c>
      <c r="D222" s="43" t="s">
        <v>365</v>
      </c>
      <c r="E222" s="43" t="s">
        <v>636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 t="s">
        <v>48</v>
      </c>
      <c r="V222" s="10" t="s">
        <v>48</v>
      </c>
      <c r="W222" s="10" t="s">
        <v>48</v>
      </c>
      <c r="X222" s="10" t="s">
        <v>48</v>
      </c>
      <c r="Y222" s="10" t="s">
        <v>48</v>
      </c>
      <c r="Z222" s="10" t="s">
        <v>48</v>
      </c>
      <c r="AA222" s="10" t="s">
        <v>48</v>
      </c>
      <c r="AB222" s="10" t="s">
        <v>48</v>
      </c>
      <c r="AC222" s="10" t="s">
        <v>48</v>
      </c>
      <c r="AD222" s="10" t="s">
        <v>48</v>
      </c>
      <c r="AE222" s="10" t="s">
        <v>48</v>
      </c>
      <c r="AF222" s="10" t="s">
        <v>48</v>
      </c>
      <c r="AG222" s="10" t="s">
        <v>48</v>
      </c>
      <c r="AH222" s="10" t="s">
        <v>48</v>
      </c>
      <c r="AI222" s="10" t="s">
        <v>48</v>
      </c>
      <c r="AJ222" s="73">
        <f t="shared" si="4"/>
        <v>15</v>
      </c>
      <c r="AK222" s="73"/>
      <c r="AL222" s="181"/>
    </row>
    <row r="223" spans="2:38" ht="16.05" customHeight="1" x14ac:dyDescent="0.3">
      <c r="B223" s="109">
        <v>222</v>
      </c>
      <c r="C223" s="10" t="s">
        <v>767</v>
      </c>
      <c r="D223" s="153" t="s">
        <v>269</v>
      </c>
      <c r="E223" s="43" t="s">
        <v>175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 t="s">
        <v>48</v>
      </c>
      <c r="Y223" s="10" t="s">
        <v>412</v>
      </c>
      <c r="Z223" s="10" t="s">
        <v>48</v>
      </c>
      <c r="AA223" s="10" t="s">
        <v>48</v>
      </c>
      <c r="AB223" s="10" t="s">
        <v>48</v>
      </c>
      <c r="AC223" s="10" t="s">
        <v>48</v>
      </c>
      <c r="AD223" s="10" t="s">
        <v>48</v>
      </c>
      <c r="AE223" s="10"/>
      <c r="AF223" s="10" t="s">
        <v>48</v>
      </c>
      <c r="AG223" s="10" t="s">
        <v>48</v>
      </c>
      <c r="AH223" s="10" t="s">
        <v>48</v>
      </c>
      <c r="AI223" s="10" t="s">
        <v>48</v>
      </c>
      <c r="AJ223" s="73">
        <f t="shared" si="4"/>
        <v>12</v>
      </c>
      <c r="AK223" s="73"/>
      <c r="AL223" s="181"/>
    </row>
    <row r="224" spans="2:38" ht="16.05" customHeight="1" x14ac:dyDescent="0.3">
      <c r="B224" s="109">
        <v>223</v>
      </c>
      <c r="C224" s="172" t="s">
        <v>803</v>
      </c>
      <c r="D224" s="43" t="s">
        <v>286</v>
      </c>
      <c r="E224" s="43" t="s">
        <v>203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 t="s">
        <v>48</v>
      </c>
      <c r="Z224" s="10" t="s">
        <v>48</v>
      </c>
      <c r="AA224" s="10" t="s">
        <v>48</v>
      </c>
      <c r="AB224" s="10" t="s">
        <v>48</v>
      </c>
      <c r="AC224" s="10" t="s">
        <v>48</v>
      </c>
      <c r="AD224" s="10" t="s">
        <v>48</v>
      </c>
      <c r="AE224" s="10" t="s">
        <v>48</v>
      </c>
      <c r="AF224" s="10" t="s">
        <v>48</v>
      </c>
      <c r="AG224" s="10" t="s">
        <v>48</v>
      </c>
      <c r="AH224" s="10" t="s">
        <v>48</v>
      </c>
      <c r="AI224" s="10" t="s">
        <v>48</v>
      </c>
      <c r="AJ224" s="73">
        <f t="shared" si="4"/>
        <v>11</v>
      </c>
      <c r="AK224" s="73"/>
      <c r="AL224" s="181"/>
    </row>
    <row r="225" spans="2:38" ht="16.05" customHeight="1" x14ac:dyDescent="0.3">
      <c r="B225" s="109">
        <v>224</v>
      </c>
      <c r="C225" s="110" t="s">
        <v>804</v>
      </c>
      <c r="D225" s="43" t="s">
        <v>177</v>
      </c>
      <c r="E225" s="43" t="s">
        <v>359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 t="s">
        <v>48</v>
      </c>
      <c r="AB225" s="10" t="s">
        <v>48</v>
      </c>
      <c r="AC225" s="10" t="s">
        <v>48</v>
      </c>
      <c r="AD225" s="10" t="s">
        <v>48</v>
      </c>
      <c r="AE225" s="10"/>
      <c r="AF225" s="10" t="s">
        <v>48</v>
      </c>
      <c r="AG225" s="10" t="s">
        <v>48</v>
      </c>
      <c r="AH225" s="10"/>
      <c r="AI225" s="10"/>
      <c r="AJ225" s="73">
        <f t="shared" si="4"/>
        <v>6</v>
      </c>
      <c r="AK225" s="73"/>
      <c r="AL225" s="181"/>
    </row>
    <row r="226" spans="2:38" ht="16.05" customHeight="1" x14ac:dyDescent="0.3">
      <c r="B226" s="109">
        <v>225</v>
      </c>
      <c r="C226" s="110" t="s">
        <v>805</v>
      </c>
      <c r="D226" s="42" t="s">
        <v>723</v>
      </c>
      <c r="E226" s="42" t="s">
        <v>724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 t="s">
        <v>48</v>
      </c>
      <c r="AD226" s="10" t="s">
        <v>48</v>
      </c>
      <c r="AE226" s="10" t="s">
        <v>48</v>
      </c>
      <c r="AF226" s="10" t="s">
        <v>48</v>
      </c>
      <c r="AG226" s="10"/>
      <c r="AH226" s="10"/>
      <c r="AI226" s="10"/>
      <c r="AJ226" s="73">
        <f t="shared" si="4"/>
        <v>4</v>
      </c>
      <c r="AK226" s="73"/>
      <c r="AL226" s="181"/>
    </row>
    <row r="227" spans="2:38" ht="16.05" customHeight="1" x14ac:dyDescent="0.3">
      <c r="B227" s="109">
        <v>226</v>
      </c>
      <c r="C227" s="110" t="s">
        <v>806</v>
      </c>
      <c r="D227" s="43" t="s">
        <v>326</v>
      </c>
      <c r="E227" s="43" t="s">
        <v>678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 t="s">
        <v>48</v>
      </c>
      <c r="AE227" s="10" t="s">
        <v>48</v>
      </c>
      <c r="AF227" s="10" t="s">
        <v>48</v>
      </c>
      <c r="AG227" s="10" t="s">
        <v>48</v>
      </c>
      <c r="AH227" s="10"/>
      <c r="AI227" s="10"/>
      <c r="AJ227" s="73">
        <f t="shared" si="4"/>
        <v>4</v>
      </c>
      <c r="AK227" s="73"/>
      <c r="AL227" s="181"/>
    </row>
    <row r="228" spans="2:38" ht="16.05" customHeight="1" x14ac:dyDescent="0.3">
      <c r="B228" s="109">
        <v>227</v>
      </c>
      <c r="C228" s="110" t="s">
        <v>807</v>
      </c>
      <c r="D228" s="43" t="s">
        <v>772</v>
      </c>
      <c r="E228" s="43" t="s">
        <v>307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 t="s">
        <v>48</v>
      </c>
      <c r="AE228" s="10" t="s">
        <v>48</v>
      </c>
      <c r="AF228" s="10" t="s">
        <v>48</v>
      </c>
      <c r="AG228" s="10" t="s">
        <v>48</v>
      </c>
      <c r="AH228" s="10"/>
      <c r="AI228" s="10"/>
      <c r="AJ228" s="73">
        <f t="shared" si="4"/>
        <v>4</v>
      </c>
      <c r="AK228" s="73"/>
      <c r="AL228" s="181"/>
    </row>
    <row r="229" spans="2:38" ht="16.05" customHeight="1" x14ac:dyDescent="0.3">
      <c r="B229" s="109">
        <v>228</v>
      </c>
      <c r="C229" s="10" t="s">
        <v>769</v>
      </c>
      <c r="D229" s="43" t="s">
        <v>725</v>
      </c>
      <c r="E229" s="43" t="s">
        <v>726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 t="s">
        <v>48</v>
      </c>
      <c r="AF229" s="10" t="s">
        <v>48</v>
      </c>
      <c r="AG229" s="10"/>
      <c r="AH229" s="10"/>
      <c r="AI229" s="10"/>
      <c r="AJ229" s="73">
        <f t="shared" si="4"/>
        <v>2</v>
      </c>
      <c r="AK229" s="73"/>
      <c r="AL229" s="181"/>
    </row>
    <row r="230" spans="2:38" ht="16.05" customHeight="1" x14ac:dyDescent="0.3">
      <c r="B230" s="109">
        <v>229</v>
      </c>
      <c r="C230" s="10"/>
      <c r="D230" s="43" t="s">
        <v>727</v>
      </c>
      <c r="E230" s="43" t="s">
        <v>728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 t="s">
        <v>48</v>
      </c>
      <c r="AG230" s="10" t="s">
        <v>48</v>
      </c>
      <c r="AH230" s="10" t="s">
        <v>48</v>
      </c>
      <c r="AI230" s="10"/>
      <c r="AJ230" s="73">
        <f t="shared" ref="AJ230:AJ248" si="5">COUNTIF(F230:AI230,"p")+COUNTIF(F230:AI230,"pp")+COUNTIF(F230:AI230,"pp")</f>
        <v>3</v>
      </c>
      <c r="AK230" s="73"/>
      <c r="AL230" s="181"/>
    </row>
    <row r="231" spans="2:38" ht="16.05" customHeight="1" x14ac:dyDescent="0.3">
      <c r="B231" s="109">
        <v>230</v>
      </c>
      <c r="C231" s="10" t="s">
        <v>760</v>
      </c>
      <c r="D231" s="43" t="s">
        <v>234</v>
      </c>
      <c r="E231" s="43" t="s">
        <v>729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 t="s">
        <v>48</v>
      </c>
      <c r="AG231" s="10" t="s">
        <v>48</v>
      </c>
      <c r="AH231" s="10" t="s">
        <v>48</v>
      </c>
      <c r="AI231" s="10"/>
      <c r="AJ231" s="73">
        <f t="shared" si="5"/>
        <v>3</v>
      </c>
      <c r="AK231" s="73"/>
      <c r="AL231" s="181"/>
    </row>
    <row r="232" spans="2:38" ht="16.05" customHeight="1" x14ac:dyDescent="0.3">
      <c r="B232" s="109">
        <v>231</v>
      </c>
      <c r="C232" s="110" t="s">
        <v>761</v>
      </c>
      <c r="D232" s="43" t="s">
        <v>387</v>
      </c>
      <c r="E232" s="43" t="s">
        <v>449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 t="s">
        <v>48</v>
      </c>
      <c r="AG232" s="10" t="s">
        <v>48</v>
      </c>
      <c r="AH232" s="10" t="s">
        <v>48</v>
      </c>
      <c r="AI232" s="10" t="s">
        <v>48</v>
      </c>
      <c r="AJ232" s="73">
        <f t="shared" si="5"/>
        <v>4</v>
      </c>
      <c r="AK232" s="73"/>
      <c r="AL232" s="181"/>
    </row>
    <row r="233" spans="2:38" ht="16.05" customHeight="1" x14ac:dyDescent="0.3">
      <c r="B233" s="109">
        <v>232</v>
      </c>
      <c r="C233" s="10" t="s">
        <v>762</v>
      </c>
      <c r="D233" s="43" t="s">
        <v>730</v>
      </c>
      <c r="E233" s="43" t="s">
        <v>731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 t="s">
        <v>48</v>
      </c>
      <c r="AG233" s="10" t="s">
        <v>48</v>
      </c>
      <c r="AH233" s="10" t="s">
        <v>48</v>
      </c>
      <c r="AI233" s="10" t="s">
        <v>48</v>
      </c>
      <c r="AJ233" s="73">
        <f t="shared" si="5"/>
        <v>4</v>
      </c>
      <c r="AK233" s="73"/>
      <c r="AL233" s="181"/>
    </row>
    <row r="234" spans="2:38" ht="16.05" customHeight="1" x14ac:dyDescent="0.3">
      <c r="B234" s="109">
        <v>233</v>
      </c>
      <c r="C234" s="10"/>
      <c r="D234" s="156" t="s">
        <v>732</v>
      </c>
      <c r="E234" s="43" t="s">
        <v>733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 t="s">
        <v>48</v>
      </c>
      <c r="AH234" s="10" t="s">
        <v>48</v>
      </c>
      <c r="AI234" s="10" t="s">
        <v>48</v>
      </c>
      <c r="AJ234" s="73">
        <f t="shared" si="5"/>
        <v>3</v>
      </c>
      <c r="AK234" s="73"/>
      <c r="AL234" s="181"/>
    </row>
    <row r="235" spans="2:38" ht="16.05" customHeight="1" x14ac:dyDescent="0.3">
      <c r="B235" s="109">
        <v>234</v>
      </c>
      <c r="C235" s="118" t="s">
        <v>763</v>
      </c>
      <c r="D235" s="43" t="s">
        <v>734</v>
      </c>
      <c r="E235" s="43" t="s">
        <v>735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 t="s">
        <v>48</v>
      </c>
      <c r="AH235" s="10" t="s">
        <v>48</v>
      </c>
      <c r="AI235" s="10" t="s">
        <v>412</v>
      </c>
      <c r="AJ235" s="73">
        <f t="shared" si="5"/>
        <v>4</v>
      </c>
      <c r="AK235" s="73"/>
      <c r="AL235" s="181"/>
    </row>
    <row r="236" spans="2:38" ht="16.05" customHeight="1" x14ac:dyDescent="0.3">
      <c r="B236" s="109">
        <v>235</v>
      </c>
      <c r="C236" s="172" t="s">
        <v>764</v>
      </c>
      <c r="D236" s="43" t="s">
        <v>736</v>
      </c>
      <c r="E236" s="43" t="s">
        <v>737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 t="s">
        <v>48</v>
      </c>
      <c r="AH236" s="10" t="s">
        <v>48</v>
      </c>
      <c r="AI236" s="10" t="s">
        <v>412</v>
      </c>
      <c r="AJ236" s="73">
        <f t="shared" si="5"/>
        <v>4</v>
      </c>
      <c r="AK236" s="73"/>
      <c r="AL236" s="181"/>
    </row>
    <row r="237" spans="2:38" ht="16.05" customHeight="1" x14ac:dyDescent="0.3">
      <c r="B237" s="109">
        <v>236</v>
      </c>
      <c r="C237" s="172" t="s">
        <v>765</v>
      </c>
      <c r="D237" s="43" t="s">
        <v>738</v>
      </c>
      <c r="E237" s="43" t="s">
        <v>739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 t="s">
        <v>48</v>
      </c>
      <c r="AH237" s="10" t="s">
        <v>48</v>
      </c>
      <c r="AI237" s="10" t="s">
        <v>412</v>
      </c>
      <c r="AJ237" s="73">
        <f t="shared" si="5"/>
        <v>4</v>
      </c>
      <c r="AK237" s="73"/>
      <c r="AL237" s="181"/>
    </row>
    <row r="238" spans="2:38" ht="16.05" customHeight="1" x14ac:dyDescent="0.3">
      <c r="B238" s="109">
        <v>237</v>
      </c>
      <c r="C238" s="172" t="s">
        <v>766</v>
      </c>
      <c r="D238" s="43" t="s">
        <v>740</v>
      </c>
      <c r="E238" s="43" t="s">
        <v>741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 t="s">
        <v>48</v>
      </c>
      <c r="AH238" s="10" t="s">
        <v>48</v>
      </c>
      <c r="AI238" s="10" t="s">
        <v>412</v>
      </c>
      <c r="AJ238" s="73">
        <f t="shared" si="5"/>
        <v>4</v>
      </c>
      <c r="AK238" s="73"/>
      <c r="AL238" s="181"/>
    </row>
    <row r="239" spans="2:38" ht="16.05" customHeight="1" x14ac:dyDescent="0.3">
      <c r="B239" s="109">
        <v>238</v>
      </c>
      <c r="C239" s="10" t="s">
        <v>744</v>
      </c>
      <c r="D239" s="43" t="s">
        <v>742</v>
      </c>
      <c r="E239" s="43" t="s">
        <v>743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 t="s">
        <v>48</v>
      </c>
      <c r="AH239" s="10" t="s">
        <v>48</v>
      </c>
      <c r="AI239" s="10" t="s">
        <v>48</v>
      </c>
      <c r="AJ239" s="73">
        <f t="shared" si="5"/>
        <v>3</v>
      </c>
      <c r="AK239" s="73"/>
      <c r="AL239" s="181"/>
    </row>
    <row r="240" spans="2:38" ht="16.05" customHeight="1" x14ac:dyDescent="0.3">
      <c r="B240" s="109">
        <v>239</v>
      </c>
      <c r="C240" s="110" t="s">
        <v>747</v>
      </c>
      <c r="D240" s="42" t="s">
        <v>745</v>
      </c>
      <c r="E240" s="42" t="s">
        <v>746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 t="s">
        <v>48</v>
      </c>
      <c r="AH240" s="10" t="s">
        <v>48</v>
      </c>
      <c r="AI240" s="10" t="s">
        <v>48</v>
      </c>
      <c r="AJ240" s="73">
        <f t="shared" si="5"/>
        <v>3</v>
      </c>
      <c r="AK240" s="73"/>
      <c r="AL240" s="181"/>
    </row>
    <row r="241" spans="2:38" ht="16.05" customHeight="1" x14ac:dyDescent="0.3">
      <c r="B241" s="109">
        <v>240</v>
      </c>
      <c r="C241" s="10" t="s">
        <v>748</v>
      </c>
      <c r="D241" s="43" t="s">
        <v>91</v>
      </c>
      <c r="E241" s="43" t="s">
        <v>90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 t="s">
        <v>48</v>
      </c>
      <c r="AH241" s="10" t="s">
        <v>48</v>
      </c>
      <c r="AI241" s="10"/>
      <c r="AJ241" s="73">
        <f t="shared" si="5"/>
        <v>2</v>
      </c>
      <c r="AK241" s="73"/>
      <c r="AL241" s="181"/>
    </row>
    <row r="242" spans="2:38" ht="16.05" customHeight="1" x14ac:dyDescent="0.3">
      <c r="B242" s="109">
        <v>241</v>
      </c>
      <c r="C242" s="10" t="s">
        <v>750</v>
      </c>
      <c r="D242" s="43" t="s">
        <v>749</v>
      </c>
      <c r="E242" s="43" t="s">
        <v>144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 t="s">
        <v>48</v>
      </c>
      <c r="AH242" s="10" t="s">
        <v>48</v>
      </c>
      <c r="AI242" s="10" t="s">
        <v>48</v>
      </c>
      <c r="AJ242" s="73">
        <f t="shared" si="5"/>
        <v>3</v>
      </c>
      <c r="AK242" s="73"/>
      <c r="AL242" s="181"/>
    </row>
    <row r="243" spans="2:38" ht="16.05" customHeight="1" x14ac:dyDescent="0.3">
      <c r="B243" s="109">
        <v>242</v>
      </c>
      <c r="C243" s="10">
        <v>33241</v>
      </c>
      <c r="D243" s="43" t="s">
        <v>751</v>
      </c>
      <c r="E243" s="43" t="s">
        <v>752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 t="s">
        <v>48</v>
      </c>
      <c r="AH243" s="10" t="s">
        <v>48</v>
      </c>
      <c r="AI243" s="10" t="s">
        <v>48</v>
      </c>
      <c r="AJ243" s="73">
        <f t="shared" si="5"/>
        <v>3</v>
      </c>
      <c r="AK243" s="73"/>
      <c r="AL243" s="181"/>
    </row>
    <row r="244" spans="2:38" ht="16.05" customHeight="1" x14ac:dyDescent="0.3">
      <c r="B244" s="109">
        <v>243</v>
      </c>
      <c r="C244" s="10">
        <v>33255</v>
      </c>
      <c r="D244" s="43" t="s">
        <v>753</v>
      </c>
      <c r="E244" s="43" t="s">
        <v>754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 t="s">
        <v>48</v>
      </c>
      <c r="AI244" s="10" t="s">
        <v>48</v>
      </c>
      <c r="AJ244" s="73">
        <f t="shared" si="5"/>
        <v>2</v>
      </c>
      <c r="AK244" s="73"/>
      <c r="AL244" s="181"/>
    </row>
    <row r="245" spans="2:38" ht="16.05" customHeight="1" x14ac:dyDescent="0.3">
      <c r="B245" s="109">
        <v>244</v>
      </c>
      <c r="C245" s="110" t="s">
        <v>770</v>
      </c>
      <c r="D245" s="43" t="s">
        <v>422</v>
      </c>
      <c r="E245" s="43" t="s">
        <v>73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 t="s">
        <v>48</v>
      </c>
      <c r="AI245" s="10" t="s">
        <v>48</v>
      </c>
      <c r="AJ245" s="73">
        <f t="shared" si="5"/>
        <v>2</v>
      </c>
      <c r="AK245" s="73"/>
      <c r="AL245" s="181"/>
    </row>
    <row r="246" spans="2:38" ht="16.05" customHeight="1" x14ac:dyDescent="0.3">
      <c r="B246" s="109">
        <v>245</v>
      </c>
      <c r="C246" s="110" t="s">
        <v>808</v>
      </c>
      <c r="D246" s="43" t="s">
        <v>755</v>
      </c>
      <c r="E246" s="43" t="s">
        <v>756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 t="s">
        <v>48</v>
      </c>
      <c r="AI246" s="10" t="s">
        <v>48</v>
      </c>
      <c r="AJ246" s="73">
        <f t="shared" si="5"/>
        <v>2</v>
      </c>
      <c r="AK246" s="73"/>
      <c r="AL246" s="181"/>
    </row>
    <row r="247" spans="2:38" ht="16.05" customHeight="1" x14ac:dyDescent="0.3">
      <c r="B247" s="109">
        <v>246</v>
      </c>
      <c r="C247" s="110" t="s">
        <v>809</v>
      </c>
      <c r="D247" s="43" t="s">
        <v>757</v>
      </c>
      <c r="E247" s="43" t="s">
        <v>758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 t="s">
        <v>48</v>
      </c>
      <c r="AI247" s="10" t="s">
        <v>48</v>
      </c>
      <c r="AJ247" s="73">
        <f t="shared" si="5"/>
        <v>2</v>
      </c>
      <c r="AK247" s="73"/>
      <c r="AL247" s="181"/>
    </row>
    <row r="248" spans="2:38" ht="16.05" customHeight="1" x14ac:dyDescent="0.3">
      <c r="B248" s="109">
        <v>247</v>
      </c>
      <c r="C248" s="10">
        <v>33528</v>
      </c>
      <c r="D248" s="43" t="s">
        <v>419</v>
      </c>
      <c r="E248" s="43" t="s">
        <v>388</v>
      </c>
      <c r="F248" s="10" t="s">
        <v>48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73">
        <f t="shared" si="5"/>
        <v>1</v>
      </c>
      <c r="AK248" s="73"/>
      <c r="AL248" s="181"/>
    </row>
    <row r="249" spans="2:38" x14ac:dyDescent="0.3">
      <c r="AJ249" s="23">
        <f>SUM(AJ3:AJ248)</f>
        <v>3050</v>
      </c>
      <c r="AK249" s="23">
        <f t="shared" ref="AK249:AL249" si="6">SUM(AK3:AK248)</f>
        <v>1109</v>
      </c>
      <c r="AL249" s="182">
        <f t="shared" si="6"/>
        <v>630183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24"/>
  <sheetViews>
    <sheetView workbookViewId="0">
      <pane xSplit="6" ySplit="4" topLeftCell="G8" activePane="bottomRight" state="frozen"/>
      <selection pane="topRight" activeCell="G1" sqref="G1"/>
      <selection pane="bottomLeft" activeCell="A5" sqref="A5"/>
      <selection pane="bottomRight" activeCell="C23" sqref="C23"/>
    </sheetView>
  </sheetViews>
  <sheetFormatPr defaultRowHeight="14.4" x14ac:dyDescent="0.3"/>
  <cols>
    <col min="1" max="1" width="3.33203125" style="5" customWidth="1"/>
    <col min="2" max="2" width="5.33203125" style="5" customWidth="1"/>
    <col min="3" max="4" width="8.44140625" style="5" customWidth="1"/>
    <col min="5" max="5" width="16.5546875" style="6" customWidth="1"/>
    <col min="6" max="6" width="16.5546875" style="5" customWidth="1"/>
    <col min="7" max="7" width="5.5546875" style="5" customWidth="1"/>
    <col min="8" max="37" width="3.77734375" style="5" customWidth="1"/>
    <col min="38" max="38" width="4.88671875" customWidth="1"/>
    <col min="39" max="39" width="7.77734375" customWidth="1"/>
    <col min="40" max="40" width="10.5546875" bestFit="1" customWidth="1"/>
    <col min="41" max="41" width="2.88671875" customWidth="1"/>
  </cols>
  <sheetData>
    <row r="2" spans="1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30" t="s">
        <v>464</v>
      </c>
      <c r="AN2" s="129" t="s">
        <v>469</v>
      </c>
    </row>
    <row r="3" spans="1:40" ht="18" customHeight="1" x14ac:dyDescent="0.3">
      <c r="B3" s="127" t="s">
        <v>810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30"/>
      <c r="AN3" s="129"/>
    </row>
    <row r="4" spans="1:40" s="54" customFormat="1" ht="18" customHeight="1" x14ac:dyDescent="0.2">
      <c r="A4" s="53"/>
      <c r="B4" s="50" t="s">
        <v>466</v>
      </c>
      <c r="C4" s="50" t="s">
        <v>2</v>
      </c>
      <c r="D4" s="50" t="s">
        <v>16</v>
      </c>
      <c r="E4" s="51" t="s">
        <v>3</v>
      </c>
      <c r="F4" s="51" t="s">
        <v>4</v>
      </c>
      <c r="G4" s="50" t="s">
        <v>7</v>
      </c>
      <c r="H4" s="50">
        <v>1</v>
      </c>
      <c r="I4" s="50">
        <v>2</v>
      </c>
      <c r="J4" s="50">
        <v>3</v>
      </c>
      <c r="K4" s="50">
        <v>4</v>
      </c>
      <c r="L4" s="50">
        <v>5</v>
      </c>
      <c r="M4" s="50">
        <v>6</v>
      </c>
      <c r="N4" s="50">
        <v>7</v>
      </c>
      <c r="O4" s="50">
        <v>8</v>
      </c>
      <c r="P4" s="50">
        <v>9</v>
      </c>
      <c r="Q4" s="50">
        <v>10</v>
      </c>
      <c r="R4" s="50">
        <v>11</v>
      </c>
      <c r="S4" s="50">
        <v>12</v>
      </c>
      <c r="T4" s="50">
        <v>13</v>
      </c>
      <c r="U4" s="50">
        <v>14</v>
      </c>
      <c r="V4" s="50">
        <v>15</v>
      </c>
      <c r="W4" s="50">
        <v>16</v>
      </c>
      <c r="X4" s="50">
        <v>17</v>
      </c>
      <c r="Y4" s="50">
        <v>18</v>
      </c>
      <c r="Z4" s="50">
        <v>19</v>
      </c>
      <c r="AA4" s="50">
        <v>20</v>
      </c>
      <c r="AB4" s="50">
        <v>21</v>
      </c>
      <c r="AC4" s="50">
        <v>22</v>
      </c>
      <c r="AD4" s="50">
        <v>23</v>
      </c>
      <c r="AE4" s="50">
        <v>24</v>
      </c>
      <c r="AF4" s="50">
        <v>25</v>
      </c>
      <c r="AG4" s="50">
        <v>26</v>
      </c>
      <c r="AH4" s="50">
        <v>27</v>
      </c>
      <c r="AI4" s="50">
        <v>28</v>
      </c>
      <c r="AJ4" s="50">
        <v>29</v>
      </c>
      <c r="AK4" s="50">
        <v>30</v>
      </c>
      <c r="AL4" s="52" t="s">
        <v>6</v>
      </c>
      <c r="AM4" s="130"/>
      <c r="AN4" s="129"/>
    </row>
    <row r="5" spans="1:40" ht="18" customHeight="1" x14ac:dyDescent="0.3">
      <c r="B5" s="105">
        <v>1</v>
      </c>
      <c r="C5" s="174" t="s">
        <v>120</v>
      </c>
      <c r="D5" s="19"/>
      <c r="E5" s="22" t="s">
        <v>126</v>
      </c>
      <c r="F5" s="22" t="s">
        <v>127</v>
      </c>
      <c r="G5" s="11" t="s">
        <v>0</v>
      </c>
      <c r="H5" s="110" t="s">
        <v>48</v>
      </c>
      <c r="I5" s="110" t="s">
        <v>48</v>
      </c>
      <c r="J5" s="110" t="s">
        <v>48</v>
      </c>
      <c r="K5" s="110"/>
      <c r="L5" s="110" t="s">
        <v>48</v>
      </c>
      <c r="M5" s="110" t="s">
        <v>48</v>
      </c>
      <c r="N5" s="10" t="s">
        <v>48</v>
      </c>
      <c r="O5" s="110" t="s">
        <v>48</v>
      </c>
      <c r="P5" s="110" t="s">
        <v>48</v>
      </c>
      <c r="Q5" s="110" t="s">
        <v>48</v>
      </c>
      <c r="R5" s="110"/>
      <c r="S5" s="110" t="s">
        <v>48</v>
      </c>
      <c r="T5" s="110" t="s">
        <v>48</v>
      </c>
      <c r="U5" s="10" t="s">
        <v>48</v>
      </c>
      <c r="V5" s="10" t="s">
        <v>48</v>
      </c>
      <c r="W5" s="110"/>
      <c r="X5" s="106"/>
      <c r="Y5" s="106"/>
      <c r="Z5" s="106" t="s">
        <v>48</v>
      </c>
      <c r="AA5" s="106" t="s">
        <v>48</v>
      </c>
      <c r="AB5" s="106" t="s">
        <v>48</v>
      </c>
      <c r="AC5" s="106" t="s">
        <v>48</v>
      </c>
      <c r="AD5" s="106" t="s">
        <v>48</v>
      </c>
      <c r="AE5" s="106" t="s">
        <v>48</v>
      </c>
      <c r="AF5" s="106"/>
      <c r="AG5" s="106" t="s">
        <v>48</v>
      </c>
      <c r="AH5" s="106" t="s">
        <v>48</v>
      </c>
      <c r="AI5" s="106" t="s">
        <v>48</v>
      </c>
      <c r="AJ5" s="106" t="s">
        <v>48</v>
      </c>
      <c r="AK5" s="106" t="s">
        <v>48</v>
      </c>
      <c r="AL5" s="38">
        <f>COUNTIF(G5:AK5,"P")+COUNTIF(G5:AK5,"PP")+COUNTIF(G5:AK5,"PP")</f>
        <v>24</v>
      </c>
      <c r="AM5" s="36">
        <v>600</v>
      </c>
      <c r="AN5" s="36">
        <f>AL5*AM5</f>
        <v>14400</v>
      </c>
    </row>
    <row r="6" spans="1:40" ht="18" customHeight="1" x14ac:dyDescent="0.3">
      <c r="B6" s="105">
        <v>2</v>
      </c>
      <c r="C6" s="7" t="s">
        <v>121</v>
      </c>
      <c r="D6" s="19"/>
      <c r="E6" s="19" t="s">
        <v>128</v>
      </c>
      <c r="F6" s="19" t="s">
        <v>129</v>
      </c>
      <c r="G6" s="10" t="s">
        <v>1</v>
      </c>
      <c r="H6" s="110" t="s">
        <v>48</v>
      </c>
      <c r="I6" s="110" t="s">
        <v>48</v>
      </c>
      <c r="J6" s="110" t="s">
        <v>48</v>
      </c>
      <c r="K6" s="110"/>
      <c r="L6" s="110" t="s">
        <v>48</v>
      </c>
      <c r="M6" s="110" t="s">
        <v>48</v>
      </c>
      <c r="N6" s="10" t="s">
        <v>48</v>
      </c>
      <c r="O6" s="110" t="s">
        <v>48</v>
      </c>
      <c r="P6" s="110" t="s">
        <v>48</v>
      </c>
      <c r="Q6" s="110" t="s">
        <v>48</v>
      </c>
      <c r="R6" s="110"/>
      <c r="S6" s="110" t="s">
        <v>48</v>
      </c>
      <c r="T6" s="110" t="s">
        <v>48</v>
      </c>
      <c r="U6" s="10" t="s">
        <v>48</v>
      </c>
      <c r="V6" s="110" t="s">
        <v>48</v>
      </c>
      <c r="W6" s="110" t="s">
        <v>48</v>
      </c>
      <c r="X6" s="106" t="s">
        <v>48</v>
      </c>
      <c r="Y6" s="106"/>
      <c r="Z6" s="106" t="s">
        <v>48</v>
      </c>
      <c r="AA6" s="106" t="s">
        <v>48</v>
      </c>
      <c r="AB6" s="106" t="s">
        <v>48</v>
      </c>
      <c r="AC6" s="106" t="s">
        <v>48</v>
      </c>
      <c r="AD6" s="106" t="s">
        <v>48</v>
      </c>
      <c r="AE6" s="106" t="s">
        <v>48</v>
      </c>
      <c r="AF6" s="106"/>
      <c r="AG6" s="106"/>
      <c r="AH6" s="106" t="s">
        <v>48</v>
      </c>
      <c r="AI6" s="106" t="s">
        <v>48</v>
      </c>
      <c r="AJ6" s="106" t="s">
        <v>48</v>
      </c>
      <c r="AK6" s="106" t="s">
        <v>48</v>
      </c>
      <c r="AL6" s="38">
        <f t="shared" ref="AL6:AL23" si="0">COUNTIF(G6:AK6,"P")+COUNTIF(G6:AK6,"PP")+COUNTIF(G6:AK6,"PP")</f>
        <v>25</v>
      </c>
      <c r="AM6" s="36">
        <v>550</v>
      </c>
      <c r="AN6" s="36">
        <f t="shared" ref="AN6:AN23" si="1">AL6*AM6</f>
        <v>13750</v>
      </c>
    </row>
    <row r="7" spans="1:40" ht="18" customHeight="1" x14ac:dyDescent="0.3">
      <c r="B7" s="105">
        <v>3</v>
      </c>
      <c r="C7" s="174" t="s">
        <v>122</v>
      </c>
      <c r="D7" s="19"/>
      <c r="E7" s="22" t="s">
        <v>130</v>
      </c>
      <c r="F7" s="22" t="s">
        <v>131</v>
      </c>
      <c r="G7" s="10" t="s">
        <v>1</v>
      </c>
      <c r="H7" s="106"/>
      <c r="I7" s="106"/>
      <c r="J7" s="106"/>
      <c r="K7" s="106"/>
      <c r="L7" s="106" t="s">
        <v>48</v>
      </c>
      <c r="M7" s="106"/>
      <c r="N7" s="106" t="s">
        <v>48</v>
      </c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 t="s">
        <v>48</v>
      </c>
      <c r="AD7" s="106" t="s">
        <v>48</v>
      </c>
      <c r="AE7" s="106" t="s">
        <v>48</v>
      </c>
      <c r="AF7" s="106"/>
      <c r="AG7" s="106" t="s">
        <v>48</v>
      </c>
      <c r="AH7" s="106" t="s">
        <v>48</v>
      </c>
      <c r="AI7" s="106" t="s">
        <v>48</v>
      </c>
      <c r="AJ7" s="106" t="s">
        <v>48</v>
      </c>
      <c r="AK7" s="106" t="s">
        <v>48</v>
      </c>
      <c r="AL7" s="38">
        <f t="shared" si="0"/>
        <v>10</v>
      </c>
      <c r="AM7" s="36">
        <v>550</v>
      </c>
      <c r="AN7" s="36">
        <f t="shared" si="1"/>
        <v>5500</v>
      </c>
    </row>
    <row r="8" spans="1:40" ht="18" customHeight="1" x14ac:dyDescent="0.3">
      <c r="B8" s="105">
        <v>4</v>
      </c>
      <c r="C8" s="174" t="s">
        <v>123</v>
      </c>
      <c r="D8" s="19"/>
      <c r="E8" s="22" t="s">
        <v>132</v>
      </c>
      <c r="F8" s="22" t="s">
        <v>133</v>
      </c>
      <c r="G8" s="10" t="s">
        <v>1</v>
      </c>
      <c r="H8" s="110" t="s">
        <v>48</v>
      </c>
      <c r="I8" s="110" t="s">
        <v>48</v>
      </c>
      <c r="J8" s="110" t="s">
        <v>48</v>
      </c>
      <c r="K8" s="110"/>
      <c r="L8" s="110" t="s">
        <v>48</v>
      </c>
      <c r="M8" s="110" t="s">
        <v>48</v>
      </c>
      <c r="N8" s="110" t="s">
        <v>48</v>
      </c>
      <c r="O8" s="110" t="s">
        <v>48</v>
      </c>
      <c r="P8" s="10" t="s">
        <v>48</v>
      </c>
      <c r="Q8" s="106" t="s">
        <v>48</v>
      </c>
      <c r="R8" s="106"/>
      <c r="S8" s="106" t="s">
        <v>48</v>
      </c>
      <c r="T8" s="106" t="s">
        <v>48</v>
      </c>
      <c r="U8" s="106" t="s">
        <v>48</v>
      </c>
      <c r="V8" s="106" t="s">
        <v>48</v>
      </c>
      <c r="W8" s="106"/>
      <c r="X8" s="106"/>
      <c r="Y8" s="106"/>
      <c r="Z8" s="106"/>
      <c r="AA8" s="106"/>
      <c r="AB8" s="106" t="s">
        <v>48</v>
      </c>
      <c r="AC8" s="106" t="s">
        <v>48</v>
      </c>
      <c r="AD8" s="106" t="s">
        <v>48</v>
      </c>
      <c r="AE8" s="106" t="s">
        <v>48</v>
      </c>
      <c r="AF8" s="106"/>
      <c r="AG8" s="106" t="s">
        <v>48</v>
      </c>
      <c r="AH8" s="106" t="s">
        <v>48</v>
      </c>
      <c r="AI8" s="106"/>
      <c r="AJ8" s="106" t="s">
        <v>48</v>
      </c>
      <c r="AK8" s="106" t="s">
        <v>48</v>
      </c>
      <c r="AL8" s="38">
        <f t="shared" si="0"/>
        <v>21</v>
      </c>
      <c r="AM8" s="36">
        <v>550</v>
      </c>
      <c r="AN8" s="36">
        <f t="shared" si="1"/>
        <v>11550</v>
      </c>
    </row>
    <row r="9" spans="1:40" ht="18" customHeight="1" x14ac:dyDescent="0.3">
      <c r="B9" s="105">
        <v>5</v>
      </c>
      <c r="C9" s="174" t="s">
        <v>124</v>
      </c>
      <c r="D9" s="19"/>
      <c r="E9" s="22" t="s">
        <v>134</v>
      </c>
      <c r="F9" s="22" t="s">
        <v>135</v>
      </c>
      <c r="G9" s="10" t="s">
        <v>1</v>
      </c>
      <c r="H9" s="106"/>
      <c r="I9" s="106"/>
      <c r="J9" s="106"/>
      <c r="K9" s="106"/>
      <c r="L9" s="106"/>
      <c r="M9" s="106"/>
      <c r="N9" s="106"/>
      <c r="O9" s="106" t="s">
        <v>48</v>
      </c>
      <c r="P9" s="106" t="s">
        <v>48</v>
      </c>
      <c r="Q9" s="106" t="s">
        <v>48</v>
      </c>
      <c r="R9" s="106"/>
      <c r="S9" s="106" t="s">
        <v>48</v>
      </c>
      <c r="T9" s="106" t="s">
        <v>48</v>
      </c>
      <c r="U9" s="106" t="s">
        <v>48</v>
      </c>
      <c r="V9" s="106" t="s">
        <v>48</v>
      </c>
      <c r="W9" s="106" t="s">
        <v>48</v>
      </c>
      <c r="X9" s="106" t="s">
        <v>48</v>
      </c>
      <c r="Y9" s="106"/>
      <c r="Z9" s="106"/>
      <c r="AA9" s="106"/>
      <c r="AB9" s="106"/>
      <c r="AC9" s="106"/>
      <c r="AD9" s="106" t="s">
        <v>48</v>
      </c>
      <c r="AE9" s="106" t="s">
        <v>48</v>
      </c>
      <c r="AF9" s="106"/>
      <c r="AG9" s="106" t="s">
        <v>48</v>
      </c>
      <c r="AH9" s="106" t="s">
        <v>48</v>
      </c>
      <c r="AI9" s="106" t="s">
        <v>48</v>
      </c>
      <c r="AJ9" s="106" t="s">
        <v>48</v>
      </c>
      <c r="AK9" s="106" t="s">
        <v>48</v>
      </c>
      <c r="AL9" s="38">
        <f t="shared" si="0"/>
        <v>16</v>
      </c>
      <c r="AM9" s="36">
        <v>550</v>
      </c>
      <c r="AN9" s="36">
        <f t="shared" si="1"/>
        <v>8800</v>
      </c>
    </row>
    <row r="10" spans="1:40" ht="18" customHeight="1" x14ac:dyDescent="0.3">
      <c r="B10" s="105">
        <v>6</v>
      </c>
      <c r="C10" s="174" t="s">
        <v>125</v>
      </c>
      <c r="D10" s="19"/>
      <c r="E10" s="22" t="s">
        <v>136</v>
      </c>
      <c r="F10" s="22" t="s">
        <v>137</v>
      </c>
      <c r="G10" s="10" t="s">
        <v>1</v>
      </c>
      <c r="H10" s="10" t="s">
        <v>48</v>
      </c>
      <c r="I10" s="110" t="s">
        <v>48</v>
      </c>
      <c r="J10" s="110" t="s">
        <v>48</v>
      </c>
      <c r="K10" s="110"/>
      <c r="L10" s="110"/>
      <c r="M10" s="110" t="s">
        <v>48</v>
      </c>
      <c r="N10" s="110" t="s">
        <v>48</v>
      </c>
      <c r="O10" s="110" t="s">
        <v>48</v>
      </c>
      <c r="P10" s="110" t="s">
        <v>48</v>
      </c>
      <c r="Q10" s="110" t="s">
        <v>48</v>
      </c>
      <c r="R10" s="110"/>
      <c r="S10" s="110" t="s">
        <v>48</v>
      </c>
      <c r="T10" s="110" t="s">
        <v>48</v>
      </c>
      <c r="U10" s="10" t="s">
        <v>48</v>
      </c>
      <c r="V10" s="110"/>
      <c r="W10" s="110" t="s">
        <v>48</v>
      </c>
      <c r="X10" s="106" t="s">
        <v>48</v>
      </c>
      <c r="Y10" s="106"/>
      <c r="Z10" s="106" t="s">
        <v>48</v>
      </c>
      <c r="AA10" s="106" t="s">
        <v>48</v>
      </c>
      <c r="AB10" s="106" t="s">
        <v>48</v>
      </c>
      <c r="AC10" s="106"/>
      <c r="AD10" s="106" t="s">
        <v>48</v>
      </c>
      <c r="AE10" s="106"/>
      <c r="AF10" s="106"/>
      <c r="AG10" s="106"/>
      <c r="AH10" s="106" t="s">
        <v>48</v>
      </c>
      <c r="AI10" s="106" t="s">
        <v>48</v>
      </c>
      <c r="AJ10" s="106" t="s">
        <v>48</v>
      </c>
      <c r="AK10" s="106" t="s">
        <v>48</v>
      </c>
      <c r="AL10" s="38">
        <f t="shared" si="0"/>
        <v>21</v>
      </c>
      <c r="AM10" s="36">
        <v>550</v>
      </c>
      <c r="AN10" s="36">
        <f t="shared" si="1"/>
        <v>11550</v>
      </c>
    </row>
    <row r="11" spans="1:40" ht="18" customHeight="1" x14ac:dyDescent="0.3">
      <c r="B11" s="105">
        <v>7</v>
      </c>
      <c r="C11" s="7">
        <v>33793</v>
      </c>
      <c r="D11" s="19"/>
      <c r="E11" s="19" t="s">
        <v>188</v>
      </c>
      <c r="F11" s="19" t="s">
        <v>189</v>
      </c>
      <c r="G11" s="10" t="s">
        <v>1</v>
      </c>
      <c r="H11" s="106"/>
      <c r="I11" s="106"/>
      <c r="J11" s="106" t="s">
        <v>48</v>
      </c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38">
        <f t="shared" si="0"/>
        <v>1</v>
      </c>
      <c r="AM11" s="36">
        <v>550</v>
      </c>
      <c r="AN11" s="36">
        <f t="shared" si="1"/>
        <v>550</v>
      </c>
    </row>
    <row r="12" spans="1:40" ht="18" customHeight="1" x14ac:dyDescent="0.3">
      <c r="B12" s="105">
        <v>8</v>
      </c>
      <c r="C12" s="7">
        <v>33578</v>
      </c>
      <c r="D12" s="19"/>
      <c r="E12" s="19" t="s">
        <v>190</v>
      </c>
      <c r="F12" s="19" t="s">
        <v>191</v>
      </c>
      <c r="G12" s="10" t="s">
        <v>1</v>
      </c>
      <c r="H12" s="106" t="s">
        <v>48</v>
      </c>
      <c r="I12" s="106" t="s">
        <v>48</v>
      </c>
      <c r="J12" s="106" t="s">
        <v>48</v>
      </c>
      <c r="K12" s="106"/>
      <c r="L12" s="106" t="s">
        <v>48</v>
      </c>
      <c r="M12" s="106" t="s">
        <v>48</v>
      </c>
      <c r="N12" s="106" t="s">
        <v>48</v>
      </c>
      <c r="O12" s="106" t="s">
        <v>48</v>
      </c>
      <c r="P12" s="106" t="s">
        <v>48</v>
      </c>
      <c r="Q12" s="106" t="s">
        <v>48</v>
      </c>
      <c r="R12" s="106"/>
      <c r="S12" s="106" t="s">
        <v>48</v>
      </c>
      <c r="T12" s="106" t="s">
        <v>48</v>
      </c>
      <c r="U12" s="106" t="s">
        <v>48</v>
      </c>
      <c r="V12" s="106" t="s">
        <v>48</v>
      </c>
      <c r="W12" s="106"/>
      <c r="X12" s="106"/>
      <c r="Y12" s="106"/>
      <c r="Z12" s="106"/>
      <c r="AA12" s="106" t="s">
        <v>48</v>
      </c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38">
        <f t="shared" si="0"/>
        <v>14</v>
      </c>
      <c r="AM12" s="36">
        <v>550</v>
      </c>
      <c r="AN12" s="36">
        <f t="shared" si="1"/>
        <v>7700</v>
      </c>
    </row>
    <row r="13" spans="1:40" ht="18" customHeight="1" x14ac:dyDescent="0.3">
      <c r="B13" s="105">
        <v>9</v>
      </c>
      <c r="C13" s="7">
        <v>34167</v>
      </c>
      <c r="D13" s="19"/>
      <c r="E13" s="19" t="s">
        <v>291</v>
      </c>
      <c r="F13" s="19" t="s">
        <v>292</v>
      </c>
      <c r="G13" s="10" t="s">
        <v>1</v>
      </c>
      <c r="H13" s="106" t="s">
        <v>48</v>
      </c>
      <c r="I13" s="106" t="s">
        <v>48</v>
      </c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38">
        <f t="shared" si="0"/>
        <v>2</v>
      </c>
      <c r="AM13" s="36">
        <v>550</v>
      </c>
      <c r="AN13" s="36">
        <f t="shared" si="1"/>
        <v>1100</v>
      </c>
    </row>
    <row r="14" spans="1:40" ht="18" customHeight="1" x14ac:dyDescent="0.3">
      <c r="B14" s="105">
        <v>10</v>
      </c>
      <c r="C14" s="174" t="s">
        <v>219</v>
      </c>
      <c r="D14" s="19"/>
      <c r="E14" s="22" t="s">
        <v>220</v>
      </c>
      <c r="F14" s="22" t="s">
        <v>218</v>
      </c>
      <c r="G14" s="9" t="s">
        <v>1</v>
      </c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 t="s">
        <v>48</v>
      </c>
      <c r="X14" s="106"/>
      <c r="Y14" s="106"/>
      <c r="Z14" s="106" t="s">
        <v>48</v>
      </c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38">
        <f t="shared" si="0"/>
        <v>2</v>
      </c>
      <c r="AM14" s="36">
        <v>550</v>
      </c>
      <c r="AN14" s="36">
        <f t="shared" si="1"/>
        <v>1100</v>
      </c>
    </row>
    <row r="15" spans="1:40" ht="18" customHeight="1" x14ac:dyDescent="0.3">
      <c r="B15" s="105">
        <v>11</v>
      </c>
      <c r="C15" s="111" t="s">
        <v>84</v>
      </c>
      <c r="D15" s="19"/>
      <c r="E15" s="103" t="s">
        <v>93</v>
      </c>
      <c r="F15" s="103" t="s">
        <v>94</v>
      </c>
      <c r="G15" s="9" t="s">
        <v>1</v>
      </c>
      <c r="H15" s="106"/>
      <c r="I15" s="106"/>
      <c r="J15" s="106"/>
      <c r="K15" s="106"/>
      <c r="L15" s="106"/>
      <c r="M15" s="106" t="s">
        <v>48</v>
      </c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 t="s">
        <v>48</v>
      </c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38">
        <f t="shared" si="0"/>
        <v>2</v>
      </c>
      <c r="AM15" s="36">
        <v>550</v>
      </c>
      <c r="AN15" s="36">
        <f t="shared" si="1"/>
        <v>1100</v>
      </c>
    </row>
    <row r="16" spans="1:40" ht="18" customHeight="1" x14ac:dyDescent="0.3">
      <c r="B16" s="105">
        <v>12</v>
      </c>
      <c r="C16" s="174" t="s">
        <v>380</v>
      </c>
      <c r="D16" s="19"/>
      <c r="E16" s="22" t="s">
        <v>379</v>
      </c>
      <c r="F16" s="22" t="s">
        <v>110</v>
      </c>
      <c r="G16" s="9" t="s">
        <v>1</v>
      </c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 t="s">
        <v>48</v>
      </c>
      <c r="AA16" s="106" t="s">
        <v>48</v>
      </c>
      <c r="AB16" s="106" t="s">
        <v>48</v>
      </c>
      <c r="AC16" s="106" t="s">
        <v>48</v>
      </c>
      <c r="AD16" s="106"/>
      <c r="AE16" s="106"/>
      <c r="AF16" s="106"/>
      <c r="AG16" s="106"/>
      <c r="AH16" s="106"/>
      <c r="AI16" s="106"/>
      <c r="AJ16" s="106"/>
      <c r="AK16" s="106"/>
      <c r="AL16" s="38">
        <f t="shared" si="0"/>
        <v>4</v>
      </c>
      <c r="AM16" s="36">
        <v>550</v>
      </c>
      <c r="AN16" s="36">
        <f t="shared" si="1"/>
        <v>2200</v>
      </c>
    </row>
    <row r="17" spans="2:40" ht="18" customHeight="1" x14ac:dyDescent="0.3">
      <c r="B17" s="105">
        <v>13</v>
      </c>
      <c r="C17" s="111" t="s">
        <v>345</v>
      </c>
      <c r="D17" s="19"/>
      <c r="E17" s="103" t="s">
        <v>343</v>
      </c>
      <c r="F17" s="103" t="s">
        <v>344</v>
      </c>
      <c r="G17" s="9" t="s">
        <v>1</v>
      </c>
      <c r="H17" s="106"/>
      <c r="I17" s="106"/>
      <c r="J17" s="106"/>
      <c r="K17" s="106"/>
      <c r="L17" s="106" t="s">
        <v>48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38">
        <f t="shared" si="0"/>
        <v>1</v>
      </c>
      <c r="AM17" s="36">
        <v>550</v>
      </c>
      <c r="AN17" s="36">
        <f t="shared" si="1"/>
        <v>550</v>
      </c>
    </row>
    <row r="18" spans="2:40" ht="18" customHeight="1" x14ac:dyDescent="0.3">
      <c r="B18" s="105">
        <v>14</v>
      </c>
      <c r="C18" s="111" t="s">
        <v>336</v>
      </c>
      <c r="D18" s="19"/>
      <c r="E18" s="103" t="s">
        <v>335</v>
      </c>
      <c r="F18" s="103" t="s">
        <v>213</v>
      </c>
      <c r="G18" s="102" t="s">
        <v>1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 t="s">
        <v>48</v>
      </c>
      <c r="X18" s="106" t="s">
        <v>48</v>
      </c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38">
        <f t="shared" si="0"/>
        <v>2</v>
      </c>
      <c r="AM18" s="36">
        <v>550</v>
      </c>
      <c r="AN18" s="36">
        <f t="shared" si="1"/>
        <v>1100</v>
      </c>
    </row>
    <row r="19" spans="2:40" ht="18" customHeight="1" x14ac:dyDescent="0.3">
      <c r="B19" s="105">
        <v>15</v>
      </c>
      <c r="C19" s="111" t="s">
        <v>456</v>
      </c>
      <c r="D19" s="19"/>
      <c r="E19" s="103" t="s">
        <v>428</v>
      </c>
      <c r="F19" s="103" t="s">
        <v>218</v>
      </c>
      <c r="G19" s="102" t="s">
        <v>1</v>
      </c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 t="s">
        <v>48</v>
      </c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38">
        <f t="shared" si="0"/>
        <v>1</v>
      </c>
      <c r="AM19" s="36">
        <v>550</v>
      </c>
      <c r="AN19" s="36">
        <f t="shared" si="1"/>
        <v>550</v>
      </c>
    </row>
    <row r="20" spans="2:40" ht="18" customHeight="1" x14ac:dyDescent="0.3">
      <c r="B20" s="105">
        <v>16</v>
      </c>
      <c r="C20" s="113" t="s">
        <v>800</v>
      </c>
      <c r="D20" s="19"/>
      <c r="E20" s="22" t="s">
        <v>557</v>
      </c>
      <c r="F20" s="22" t="s">
        <v>558</v>
      </c>
      <c r="G20" s="102" t="s">
        <v>1</v>
      </c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 t="s">
        <v>48</v>
      </c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38">
        <f t="shared" si="0"/>
        <v>1</v>
      </c>
      <c r="AM20" s="36">
        <v>550</v>
      </c>
      <c r="AN20" s="36">
        <f t="shared" si="1"/>
        <v>550</v>
      </c>
    </row>
    <row r="21" spans="2:40" ht="18" customHeight="1" x14ac:dyDescent="0.3">
      <c r="B21" s="105">
        <v>17</v>
      </c>
      <c r="C21" s="111">
        <v>33720</v>
      </c>
      <c r="D21" s="19"/>
      <c r="E21" s="22" t="s">
        <v>658</v>
      </c>
      <c r="F21" s="22" t="s">
        <v>52</v>
      </c>
      <c r="G21" s="102" t="s">
        <v>1</v>
      </c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 t="s">
        <v>48</v>
      </c>
      <c r="AA21" s="106" t="s">
        <v>48</v>
      </c>
      <c r="AB21" s="106" t="s">
        <v>48</v>
      </c>
      <c r="AC21" s="106" t="s">
        <v>48</v>
      </c>
      <c r="AD21" s="106" t="s">
        <v>48</v>
      </c>
      <c r="AE21" s="106"/>
      <c r="AF21" s="106"/>
      <c r="AG21" s="106"/>
      <c r="AH21" s="106"/>
      <c r="AI21" s="106"/>
      <c r="AJ21" s="106"/>
      <c r="AK21" s="106"/>
      <c r="AL21" s="38">
        <f t="shared" si="0"/>
        <v>5</v>
      </c>
      <c r="AM21" s="36">
        <v>550</v>
      </c>
      <c r="AN21" s="36">
        <f t="shared" si="1"/>
        <v>2750</v>
      </c>
    </row>
    <row r="22" spans="2:40" ht="18" customHeight="1" x14ac:dyDescent="0.3">
      <c r="B22" s="105">
        <v>18</v>
      </c>
      <c r="C22" s="111">
        <v>34096</v>
      </c>
      <c r="D22" s="19"/>
      <c r="E22" s="22" t="s">
        <v>664</v>
      </c>
      <c r="F22" s="22" t="s">
        <v>144</v>
      </c>
      <c r="G22" s="102" t="s">
        <v>1</v>
      </c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 t="s">
        <v>48</v>
      </c>
      <c r="AD22" s="106"/>
      <c r="AE22" s="106"/>
      <c r="AF22" s="106"/>
      <c r="AG22" s="106"/>
      <c r="AH22" s="106"/>
      <c r="AI22" s="106"/>
      <c r="AJ22" s="106"/>
      <c r="AK22" s="106"/>
      <c r="AL22" s="38">
        <f t="shared" si="0"/>
        <v>1</v>
      </c>
      <c r="AM22" s="36">
        <v>550</v>
      </c>
      <c r="AN22" s="36">
        <f t="shared" si="1"/>
        <v>550</v>
      </c>
    </row>
    <row r="23" spans="2:40" ht="18" customHeight="1" x14ac:dyDescent="0.3">
      <c r="B23" s="105">
        <v>19</v>
      </c>
      <c r="C23" s="174" t="s">
        <v>635</v>
      </c>
      <c r="D23" s="19"/>
      <c r="E23" s="103" t="s">
        <v>299</v>
      </c>
      <c r="F23" s="103" t="s">
        <v>313</v>
      </c>
      <c r="G23" s="102" t="s">
        <v>1</v>
      </c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 t="s">
        <v>48</v>
      </c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38">
        <f t="shared" si="0"/>
        <v>1</v>
      </c>
      <c r="AM23" s="36">
        <v>550</v>
      </c>
      <c r="AN23" s="36">
        <f t="shared" si="1"/>
        <v>550</v>
      </c>
    </row>
    <row r="24" spans="2:40" ht="18" customHeight="1" x14ac:dyDescent="0.3">
      <c r="B24" s="128" t="s">
        <v>15</v>
      </c>
      <c r="C24" s="128"/>
      <c r="D24" s="128"/>
      <c r="E24" s="128"/>
      <c r="F24" s="128"/>
      <c r="G24" s="128"/>
      <c r="H24" s="12">
        <f>COUNTIF(H5:H23,"P")+COUNTIF(H5:H23,"PP")+COUNTIF(H5:H23,"PP")</f>
        <v>6</v>
      </c>
      <c r="I24" s="12">
        <f t="shared" ref="I24:AK24" si="2">COUNTIF(I5:I23,"P")+COUNTIF(I5:I23,"PP")+COUNTIF(I5:I23,"PP")</f>
        <v>6</v>
      </c>
      <c r="J24" s="12">
        <f t="shared" si="2"/>
        <v>6</v>
      </c>
      <c r="K24" s="12">
        <f t="shared" si="2"/>
        <v>0</v>
      </c>
      <c r="L24" s="12">
        <f t="shared" si="2"/>
        <v>6</v>
      </c>
      <c r="M24" s="12">
        <f t="shared" si="2"/>
        <v>6</v>
      </c>
      <c r="N24" s="12">
        <f t="shared" si="2"/>
        <v>6</v>
      </c>
      <c r="O24" s="12">
        <f t="shared" si="2"/>
        <v>6</v>
      </c>
      <c r="P24" s="12">
        <f t="shared" si="2"/>
        <v>6</v>
      </c>
      <c r="Q24" s="12">
        <f t="shared" si="2"/>
        <v>6</v>
      </c>
      <c r="R24" s="12">
        <f t="shared" si="2"/>
        <v>0</v>
      </c>
      <c r="S24" s="12">
        <f t="shared" si="2"/>
        <v>6</v>
      </c>
      <c r="T24" s="12">
        <f t="shared" si="2"/>
        <v>6</v>
      </c>
      <c r="U24" s="12">
        <f t="shared" si="2"/>
        <v>6</v>
      </c>
      <c r="V24" s="12">
        <f t="shared" si="2"/>
        <v>6</v>
      </c>
      <c r="W24" s="12">
        <f t="shared" si="2"/>
        <v>6</v>
      </c>
      <c r="X24" s="12">
        <f t="shared" si="2"/>
        <v>6</v>
      </c>
      <c r="Y24" s="12">
        <f t="shared" si="2"/>
        <v>0</v>
      </c>
      <c r="Z24" s="12">
        <f t="shared" si="2"/>
        <v>6</v>
      </c>
      <c r="AA24" s="12">
        <f t="shared" si="2"/>
        <v>6</v>
      </c>
      <c r="AB24" s="12">
        <f t="shared" si="2"/>
        <v>6</v>
      </c>
      <c r="AC24" s="12">
        <f t="shared" si="2"/>
        <v>7</v>
      </c>
      <c r="AD24" s="12">
        <f t="shared" si="2"/>
        <v>7</v>
      </c>
      <c r="AE24" s="12">
        <f t="shared" si="2"/>
        <v>5</v>
      </c>
      <c r="AF24" s="12">
        <f t="shared" si="2"/>
        <v>0</v>
      </c>
      <c r="AG24" s="12">
        <f t="shared" si="2"/>
        <v>4</v>
      </c>
      <c r="AH24" s="12">
        <f t="shared" si="2"/>
        <v>6</v>
      </c>
      <c r="AI24" s="12">
        <f t="shared" si="2"/>
        <v>5</v>
      </c>
      <c r="AJ24" s="12">
        <f t="shared" si="2"/>
        <v>6</v>
      </c>
      <c r="AK24" s="12">
        <f t="shared" si="2"/>
        <v>6</v>
      </c>
      <c r="AL24" s="39">
        <f>SUM(AL5:AL23)</f>
        <v>154</v>
      </c>
      <c r="AN24" s="37">
        <f>SUM(AN5:AN23)</f>
        <v>85900</v>
      </c>
    </row>
  </sheetData>
  <mergeCells count="5">
    <mergeCell ref="B2:AL2"/>
    <mergeCell ref="B3:AL3"/>
    <mergeCell ref="B24:G24"/>
    <mergeCell ref="AN2:AN4"/>
    <mergeCell ref="AM2:AM4"/>
  </mergeCells>
  <conditionalFormatting sqref="C3">
    <cfRule type="duplicateValues" dxfId="335" priority="15"/>
  </conditionalFormatting>
  <conditionalFormatting sqref="C4">
    <cfRule type="duplicateValues" dxfId="334" priority="16"/>
  </conditionalFormatting>
  <conditionalFormatting sqref="C5:F5">
    <cfRule type="duplicateValues" dxfId="333" priority="12"/>
  </conditionalFormatting>
  <conditionalFormatting sqref="C7:F7">
    <cfRule type="duplicateValues" dxfId="332" priority="4"/>
  </conditionalFormatting>
  <conditionalFormatting sqref="C8:F8">
    <cfRule type="duplicateValues" dxfId="331" priority="8"/>
  </conditionalFormatting>
  <conditionalFormatting sqref="C9:F9">
    <cfRule type="duplicateValues" dxfId="330" priority="11"/>
  </conditionalFormatting>
  <conditionalFormatting sqref="C10:F10">
    <cfRule type="duplicateValues" dxfId="329" priority="10"/>
  </conditionalFormatting>
  <conditionalFormatting sqref="C11:F11">
    <cfRule type="duplicateValues" dxfId="328" priority="7"/>
  </conditionalFormatting>
  <conditionalFormatting sqref="C12:F12">
    <cfRule type="duplicateValues" dxfId="327" priority="9"/>
  </conditionalFormatting>
  <conditionalFormatting sqref="C13:F13">
    <cfRule type="duplicateValues" dxfId="326" priority="5"/>
  </conditionalFormatting>
  <conditionalFormatting sqref="C14:F14">
    <cfRule type="duplicateValues" dxfId="325" priority="3"/>
  </conditionalFormatting>
  <conditionalFormatting sqref="H3:AK23">
    <cfRule type="cellIs" dxfId="324" priority="14" operator="equal">
      <formula>"a"</formula>
    </cfRule>
  </conditionalFormatting>
  <conditionalFormatting sqref="C15:F23">
    <cfRule type="duplicateValues" dxfId="323" priority="1674"/>
  </conditionalFormatting>
  <conditionalFormatting sqref="C5 C7:C23">
    <cfRule type="duplicateValues" dxfId="322" priority="1676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17"/>
  <sheetViews>
    <sheetView zoomScale="90" zoomScaleNormal="90" workbookViewId="0">
      <selection activeCell="C5" sqref="C5"/>
    </sheetView>
  </sheetViews>
  <sheetFormatPr defaultRowHeight="14.4" x14ac:dyDescent="0.3"/>
  <cols>
    <col min="1" max="1" width="3.109375" customWidth="1"/>
    <col min="2" max="2" width="5.33203125" style="1" customWidth="1"/>
    <col min="3" max="3" width="8.44140625" style="2" customWidth="1"/>
    <col min="4" max="4" width="8.44140625" style="1" customWidth="1"/>
    <col min="5" max="6" width="19" style="2" customWidth="1"/>
    <col min="7" max="7" width="6.33203125" style="5" customWidth="1"/>
    <col min="8" max="37" width="4.33203125" style="1" customWidth="1"/>
    <col min="38" max="38" width="5.88671875" style="1" bestFit="1" customWidth="1"/>
    <col min="39" max="39" width="8.88671875" style="1" customWidth="1"/>
    <col min="40" max="40" width="11.88671875" style="1" customWidth="1"/>
    <col min="41" max="41" width="3.109375" customWidth="1"/>
  </cols>
  <sheetData>
    <row r="2" spans="2:40" ht="19.95" customHeight="1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30" t="s">
        <v>464</v>
      </c>
      <c r="AN2" s="131" t="s">
        <v>465</v>
      </c>
    </row>
    <row r="3" spans="2:40" s="14" customFormat="1" ht="18" customHeight="1" x14ac:dyDescent="0.2">
      <c r="B3" s="127" t="s">
        <v>494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30"/>
      <c r="AN3" s="131"/>
    </row>
    <row r="4" spans="2:40" s="55" customFormat="1" ht="18" customHeight="1" x14ac:dyDescent="0.2">
      <c r="B4" s="46" t="s">
        <v>466</v>
      </c>
      <c r="C4" s="47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30"/>
      <c r="AN4" s="131"/>
    </row>
    <row r="5" spans="2:40" s="1" customFormat="1" ht="18" customHeight="1" x14ac:dyDescent="0.3">
      <c r="B5" s="105">
        <v>1</v>
      </c>
      <c r="C5" s="173" t="s">
        <v>204</v>
      </c>
      <c r="D5" s="10"/>
      <c r="E5" s="21" t="s">
        <v>205</v>
      </c>
      <c r="F5" s="21" t="s">
        <v>206</v>
      </c>
      <c r="G5" s="11" t="s">
        <v>0</v>
      </c>
      <c r="H5" s="106" t="s">
        <v>48</v>
      </c>
      <c r="I5" s="106" t="s">
        <v>48</v>
      </c>
      <c r="J5" s="106" t="s">
        <v>48</v>
      </c>
      <c r="K5" s="106" t="s">
        <v>48</v>
      </c>
      <c r="L5" s="106"/>
      <c r="M5" s="106"/>
      <c r="N5" s="106"/>
      <c r="O5" s="106" t="s">
        <v>48</v>
      </c>
      <c r="P5" s="106" t="s">
        <v>48</v>
      </c>
      <c r="Q5" s="106" t="s">
        <v>48</v>
      </c>
      <c r="R5" s="106" t="s">
        <v>48</v>
      </c>
      <c r="S5" s="106"/>
      <c r="T5" s="106"/>
      <c r="U5" s="106"/>
      <c r="V5" s="106" t="s">
        <v>48</v>
      </c>
      <c r="W5" s="106" t="s">
        <v>48</v>
      </c>
      <c r="X5" s="106" t="s">
        <v>48</v>
      </c>
      <c r="Y5" s="106" t="s">
        <v>48</v>
      </c>
      <c r="Z5" s="106"/>
      <c r="AA5" s="106"/>
      <c r="AB5" s="106"/>
      <c r="AC5" s="106" t="s">
        <v>48</v>
      </c>
      <c r="AD5" s="106" t="s">
        <v>48</v>
      </c>
      <c r="AE5" s="106" t="s">
        <v>48</v>
      </c>
      <c r="AF5" s="106" t="s">
        <v>48</v>
      </c>
      <c r="AG5" s="106"/>
      <c r="AH5" s="106"/>
      <c r="AI5" s="106"/>
      <c r="AJ5" s="106" t="s">
        <v>48</v>
      </c>
      <c r="AK5" s="106" t="s">
        <v>48</v>
      </c>
      <c r="AL5" s="12">
        <f t="shared" ref="AL5:AL16" si="0">COUNTIF(G5:AK5,"P")+COUNTIF(G5:AK5,"PP")+COUNTIF(G5:AK5,"PP")</f>
        <v>18</v>
      </c>
      <c r="AM5" s="26">
        <v>600</v>
      </c>
      <c r="AN5" s="26">
        <f>AL5*AM5</f>
        <v>10800</v>
      </c>
    </row>
    <row r="6" spans="2:40" s="1" customFormat="1" ht="18" customHeight="1" x14ac:dyDescent="0.3">
      <c r="B6" s="105">
        <v>2</v>
      </c>
      <c r="C6" s="110" t="s">
        <v>207</v>
      </c>
      <c r="D6" s="10"/>
      <c r="E6" s="21" t="s">
        <v>72</v>
      </c>
      <c r="F6" s="21" t="s">
        <v>189</v>
      </c>
      <c r="G6" s="10" t="s">
        <v>1</v>
      </c>
      <c r="H6" s="106" t="s">
        <v>48</v>
      </c>
      <c r="I6" s="106" t="s">
        <v>48</v>
      </c>
      <c r="J6" s="106" t="s">
        <v>48</v>
      </c>
      <c r="K6" s="106" t="s">
        <v>48</v>
      </c>
      <c r="L6" s="106"/>
      <c r="M6" s="106"/>
      <c r="N6" s="106"/>
      <c r="O6" s="106" t="s">
        <v>48</v>
      </c>
      <c r="P6" s="106" t="s">
        <v>48</v>
      </c>
      <c r="Q6" s="106" t="s">
        <v>48</v>
      </c>
      <c r="R6" s="106" t="s">
        <v>48</v>
      </c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 t="s">
        <v>48</v>
      </c>
      <c r="AD6" s="106" t="s">
        <v>48</v>
      </c>
      <c r="AE6" s="106" t="s">
        <v>48</v>
      </c>
      <c r="AF6" s="106" t="s">
        <v>48</v>
      </c>
      <c r="AG6" s="106"/>
      <c r="AH6" s="106"/>
      <c r="AI6" s="106"/>
      <c r="AJ6" s="106"/>
      <c r="AK6" s="106"/>
      <c r="AL6" s="12">
        <f t="shared" si="0"/>
        <v>12</v>
      </c>
      <c r="AM6" s="26">
        <v>550</v>
      </c>
      <c r="AN6" s="26">
        <f t="shared" ref="AN6:AN16" si="1">AL6*AM6</f>
        <v>6600</v>
      </c>
    </row>
    <row r="7" spans="2:40" s="1" customFormat="1" ht="18" customHeight="1" x14ac:dyDescent="0.3">
      <c r="B7" s="105">
        <v>3</v>
      </c>
      <c r="C7" s="110" t="s">
        <v>210</v>
      </c>
      <c r="D7" s="10"/>
      <c r="E7" s="20" t="s">
        <v>211</v>
      </c>
      <c r="F7" s="20" t="s">
        <v>212</v>
      </c>
      <c r="G7" s="10" t="s">
        <v>1</v>
      </c>
      <c r="H7" s="106" t="s">
        <v>48</v>
      </c>
      <c r="I7" s="106" t="s">
        <v>48</v>
      </c>
      <c r="J7" s="106" t="s">
        <v>48</v>
      </c>
      <c r="K7" s="106" t="s">
        <v>48</v>
      </c>
      <c r="L7" s="106"/>
      <c r="M7" s="106"/>
      <c r="N7" s="106"/>
      <c r="O7" s="106" t="s">
        <v>48</v>
      </c>
      <c r="P7" s="106" t="s">
        <v>48</v>
      </c>
      <c r="Q7" s="106" t="s">
        <v>48</v>
      </c>
      <c r="R7" s="106" t="s">
        <v>48</v>
      </c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2">
        <f t="shared" si="0"/>
        <v>8</v>
      </c>
      <c r="AM7" s="26">
        <v>550</v>
      </c>
      <c r="AN7" s="26">
        <f t="shared" si="1"/>
        <v>4400</v>
      </c>
    </row>
    <row r="8" spans="2:40" s="1" customFormat="1" ht="18" customHeight="1" x14ac:dyDescent="0.3">
      <c r="B8" s="105">
        <v>4</v>
      </c>
      <c r="C8" s="10" t="s">
        <v>305</v>
      </c>
      <c r="D8" s="10"/>
      <c r="E8" s="20" t="s">
        <v>182</v>
      </c>
      <c r="F8" s="20" t="s">
        <v>304</v>
      </c>
      <c r="G8" s="10" t="s">
        <v>1</v>
      </c>
      <c r="H8" s="106" t="s">
        <v>48</v>
      </c>
      <c r="I8" s="106" t="s">
        <v>48</v>
      </c>
      <c r="J8" s="106" t="s">
        <v>48</v>
      </c>
      <c r="K8" s="106" t="s">
        <v>48</v>
      </c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 t="s">
        <v>48</v>
      </c>
      <c r="W8" s="106" t="s">
        <v>48</v>
      </c>
      <c r="X8" s="106" t="s">
        <v>48</v>
      </c>
      <c r="Y8" s="106" t="s">
        <v>48</v>
      </c>
      <c r="Z8" s="106"/>
      <c r="AA8" s="106"/>
      <c r="AB8" s="106"/>
      <c r="AC8" s="106" t="s">
        <v>48</v>
      </c>
      <c r="AD8" s="106" t="s">
        <v>48</v>
      </c>
      <c r="AE8" s="106" t="s">
        <v>48</v>
      </c>
      <c r="AF8" s="106" t="s">
        <v>48</v>
      </c>
      <c r="AG8" s="106"/>
      <c r="AH8" s="106"/>
      <c r="AI8" s="106"/>
      <c r="AJ8" s="106"/>
      <c r="AK8" s="106"/>
      <c r="AL8" s="12">
        <f t="shared" si="0"/>
        <v>12</v>
      </c>
      <c r="AM8" s="26">
        <v>550</v>
      </c>
      <c r="AN8" s="26">
        <f t="shared" si="1"/>
        <v>6600</v>
      </c>
    </row>
    <row r="9" spans="2:40" s="1" customFormat="1" ht="18" customHeight="1" x14ac:dyDescent="0.3">
      <c r="B9" s="105">
        <v>5</v>
      </c>
      <c r="C9" s="10">
        <v>33858</v>
      </c>
      <c r="D9" s="10"/>
      <c r="E9" s="20" t="s">
        <v>777</v>
      </c>
      <c r="F9" s="20" t="s">
        <v>238</v>
      </c>
      <c r="G9" s="10" t="s">
        <v>1</v>
      </c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 t="s">
        <v>48</v>
      </c>
      <c r="AK9" s="106" t="s">
        <v>48</v>
      </c>
      <c r="AL9" s="12">
        <f t="shared" si="0"/>
        <v>2</v>
      </c>
      <c r="AM9" s="26">
        <v>550</v>
      </c>
      <c r="AN9" s="26">
        <f t="shared" si="1"/>
        <v>1100</v>
      </c>
    </row>
    <row r="10" spans="2:40" s="1" customFormat="1" ht="18" customHeight="1" x14ac:dyDescent="0.3">
      <c r="B10" s="105">
        <v>6</v>
      </c>
      <c r="C10" s="106" t="s">
        <v>770</v>
      </c>
      <c r="D10" s="10"/>
      <c r="E10" s="20" t="s">
        <v>422</v>
      </c>
      <c r="F10" s="20" t="s">
        <v>73</v>
      </c>
      <c r="G10" s="10" t="s">
        <v>1</v>
      </c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 t="s">
        <v>48</v>
      </c>
      <c r="AK10" s="106" t="s">
        <v>48</v>
      </c>
      <c r="AL10" s="12">
        <f t="shared" si="0"/>
        <v>2</v>
      </c>
      <c r="AM10" s="26">
        <v>550</v>
      </c>
      <c r="AN10" s="26">
        <f t="shared" si="1"/>
        <v>1100</v>
      </c>
    </row>
    <row r="11" spans="2:40" s="1" customFormat="1" ht="18" customHeight="1" x14ac:dyDescent="0.3">
      <c r="B11" s="105">
        <v>7</v>
      </c>
      <c r="C11" s="110" t="s">
        <v>802</v>
      </c>
      <c r="D11" s="10"/>
      <c r="E11" s="20" t="s">
        <v>622</v>
      </c>
      <c r="F11" s="20" t="s">
        <v>428</v>
      </c>
      <c r="G11" s="10" t="s">
        <v>1</v>
      </c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 t="s">
        <v>48</v>
      </c>
      <c r="W11" s="106" t="s">
        <v>48</v>
      </c>
      <c r="X11" s="106" t="s">
        <v>48</v>
      </c>
      <c r="Y11" s="106" t="s">
        <v>48</v>
      </c>
      <c r="Z11" s="106"/>
      <c r="AA11" s="106"/>
      <c r="AB11" s="106"/>
      <c r="AC11" s="106" t="s">
        <v>48</v>
      </c>
      <c r="AD11" s="106" t="s">
        <v>48</v>
      </c>
      <c r="AE11" s="106" t="s">
        <v>48</v>
      </c>
      <c r="AF11" s="106" t="s">
        <v>48</v>
      </c>
      <c r="AG11" s="106"/>
      <c r="AH11" s="106"/>
      <c r="AI11" s="106"/>
      <c r="AJ11" s="106"/>
      <c r="AK11" s="106"/>
      <c r="AL11" s="12">
        <f t="shared" si="0"/>
        <v>8</v>
      </c>
      <c r="AM11" s="26">
        <v>550</v>
      </c>
      <c r="AN11" s="26">
        <f t="shared" si="1"/>
        <v>4400</v>
      </c>
    </row>
    <row r="12" spans="2:40" s="1" customFormat="1" ht="18" customHeight="1" x14ac:dyDescent="0.3">
      <c r="B12" s="105">
        <v>8</v>
      </c>
      <c r="C12" s="110" t="s">
        <v>624</v>
      </c>
      <c r="D12" s="10"/>
      <c r="E12" s="21" t="s">
        <v>387</v>
      </c>
      <c r="F12" s="21" t="s">
        <v>623</v>
      </c>
      <c r="G12" s="10" t="s">
        <v>1</v>
      </c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 t="s">
        <v>48</v>
      </c>
      <c r="W12" s="106" t="s">
        <v>48</v>
      </c>
      <c r="X12" s="106" t="s">
        <v>48</v>
      </c>
      <c r="Y12" s="106" t="s">
        <v>48</v>
      </c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2">
        <f t="shared" si="0"/>
        <v>4</v>
      </c>
      <c r="AM12" s="26">
        <v>550</v>
      </c>
      <c r="AN12" s="26">
        <f t="shared" si="1"/>
        <v>2200</v>
      </c>
    </row>
    <row r="13" spans="2:40" s="1" customFormat="1" ht="18" customHeight="1" x14ac:dyDescent="0.3">
      <c r="B13" s="105">
        <v>9</v>
      </c>
      <c r="C13" s="10" t="s">
        <v>626</v>
      </c>
      <c r="D13" s="10"/>
      <c r="E13" s="20" t="s">
        <v>625</v>
      </c>
      <c r="F13" s="20" t="s">
        <v>175</v>
      </c>
      <c r="G13" s="10" t="s">
        <v>1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 t="s">
        <v>48</v>
      </c>
      <c r="W13" s="106" t="s">
        <v>48</v>
      </c>
      <c r="X13" s="106" t="s">
        <v>48</v>
      </c>
      <c r="Y13" s="106" t="s">
        <v>48</v>
      </c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 t="s">
        <v>48</v>
      </c>
      <c r="AK13" s="106" t="s">
        <v>48</v>
      </c>
      <c r="AL13" s="12">
        <f t="shared" si="0"/>
        <v>6</v>
      </c>
      <c r="AM13" s="26">
        <v>550</v>
      </c>
      <c r="AN13" s="26">
        <f t="shared" si="1"/>
        <v>3300</v>
      </c>
    </row>
    <row r="14" spans="2:40" s="1" customFormat="1" ht="18" customHeight="1" x14ac:dyDescent="0.3">
      <c r="B14" s="105">
        <v>10</v>
      </c>
      <c r="C14" s="110">
        <v>34586</v>
      </c>
      <c r="D14" s="10"/>
      <c r="E14" s="21" t="s">
        <v>269</v>
      </c>
      <c r="F14" s="21" t="s">
        <v>175</v>
      </c>
      <c r="G14" s="10" t="s">
        <v>1</v>
      </c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 t="s">
        <v>48</v>
      </c>
      <c r="AD14" s="106" t="s">
        <v>48</v>
      </c>
      <c r="AE14" s="106" t="s">
        <v>48</v>
      </c>
      <c r="AF14" s="106" t="s">
        <v>48</v>
      </c>
      <c r="AG14" s="106"/>
      <c r="AH14" s="106"/>
      <c r="AI14" s="106"/>
      <c r="AJ14" s="106" t="s">
        <v>48</v>
      </c>
      <c r="AK14" s="106" t="s">
        <v>48</v>
      </c>
      <c r="AL14" s="12">
        <f t="shared" si="0"/>
        <v>6</v>
      </c>
      <c r="AM14" s="26">
        <v>550</v>
      </c>
      <c r="AN14" s="26">
        <f t="shared" si="1"/>
        <v>3300</v>
      </c>
    </row>
    <row r="15" spans="2:40" s="1" customFormat="1" ht="18" customHeight="1" x14ac:dyDescent="0.3">
      <c r="B15" s="105">
        <v>11</v>
      </c>
      <c r="C15" s="110" t="s">
        <v>496</v>
      </c>
      <c r="D15" s="10"/>
      <c r="E15" s="21" t="s">
        <v>495</v>
      </c>
      <c r="F15" s="21" t="s">
        <v>209</v>
      </c>
      <c r="G15" s="10" t="s">
        <v>1</v>
      </c>
      <c r="H15" s="106" t="s">
        <v>48</v>
      </c>
      <c r="I15" s="106" t="s">
        <v>48</v>
      </c>
      <c r="J15" s="106" t="s">
        <v>48</v>
      </c>
      <c r="K15" s="106" t="s">
        <v>48</v>
      </c>
      <c r="L15" s="106"/>
      <c r="M15" s="106"/>
      <c r="N15" s="106"/>
      <c r="O15" s="106" t="s">
        <v>48</v>
      </c>
      <c r="P15" s="106" t="s">
        <v>48</v>
      </c>
      <c r="Q15" s="106" t="s">
        <v>48</v>
      </c>
      <c r="R15" s="106" t="s">
        <v>48</v>
      </c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2">
        <f t="shared" si="0"/>
        <v>8</v>
      </c>
      <c r="AM15" s="26">
        <v>550</v>
      </c>
      <c r="AN15" s="26">
        <f t="shared" si="1"/>
        <v>4400</v>
      </c>
    </row>
    <row r="16" spans="2:40" s="1" customFormat="1" ht="18" customHeight="1" x14ac:dyDescent="0.3">
      <c r="B16" s="105">
        <v>12</v>
      </c>
      <c r="C16" s="10" t="s">
        <v>562</v>
      </c>
      <c r="D16" s="10"/>
      <c r="E16" s="20" t="s">
        <v>66</v>
      </c>
      <c r="F16" s="20" t="s">
        <v>561</v>
      </c>
      <c r="G16" s="10" t="s">
        <v>1</v>
      </c>
      <c r="H16" s="106"/>
      <c r="I16" s="106"/>
      <c r="J16" s="106"/>
      <c r="K16" s="106"/>
      <c r="L16" s="106"/>
      <c r="M16" s="106"/>
      <c r="N16" s="106"/>
      <c r="O16" s="106" t="s">
        <v>48</v>
      </c>
      <c r="P16" s="106" t="s">
        <v>48</v>
      </c>
      <c r="Q16" s="106" t="s">
        <v>48</v>
      </c>
      <c r="R16" s="106" t="s">
        <v>48</v>
      </c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2">
        <f t="shared" si="0"/>
        <v>4</v>
      </c>
      <c r="AM16" s="26">
        <v>550</v>
      </c>
      <c r="AN16" s="26">
        <f t="shared" si="1"/>
        <v>2200</v>
      </c>
    </row>
    <row r="17" spans="2:40" s="15" customFormat="1" ht="18" customHeight="1" x14ac:dyDescent="0.25">
      <c r="B17" s="128" t="s">
        <v>15</v>
      </c>
      <c r="C17" s="128"/>
      <c r="D17" s="128"/>
      <c r="E17" s="128"/>
      <c r="F17" s="128"/>
      <c r="G17" s="128"/>
      <c r="H17" s="12">
        <f>COUNTIF(H5:H16,"P")+COUNTIF(H5:H16,"PP")+COUNTIF(H5:H16,"PP")</f>
        <v>5</v>
      </c>
      <c r="I17" s="12">
        <f t="shared" ref="I17:AK17" si="2">COUNTIF(I5:I16,"P")+COUNTIF(I5:I16,"PP")+COUNTIF(I5:I16,"PP")</f>
        <v>5</v>
      </c>
      <c r="J17" s="12">
        <f t="shared" si="2"/>
        <v>5</v>
      </c>
      <c r="K17" s="12">
        <f t="shared" si="2"/>
        <v>5</v>
      </c>
      <c r="L17" s="12">
        <f t="shared" si="2"/>
        <v>0</v>
      </c>
      <c r="M17" s="12">
        <f t="shared" si="2"/>
        <v>0</v>
      </c>
      <c r="N17" s="12">
        <f t="shared" si="2"/>
        <v>0</v>
      </c>
      <c r="O17" s="12">
        <f t="shared" si="2"/>
        <v>5</v>
      </c>
      <c r="P17" s="12">
        <f t="shared" si="2"/>
        <v>5</v>
      </c>
      <c r="Q17" s="12">
        <f t="shared" si="2"/>
        <v>5</v>
      </c>
      <c r="R17" s="12">
        <f t="shared" si="2"/>
        <v>5</v>
      </c>
      <c r="S17" s="12">
        <f t="shared" si="2"/>
        <v>0</v>
      </c>
      <c r="T17" s="12">
        <f t="shared" si="2"/>
        <v>0</v>
      </c>
      <c r="U17" s="12">
        <f t="shared" si="2"/>
        <v>0</v>
      </c>
      <c r="V17" s="12">
        <f t="shared" si="2"/>
        <v>5</v>
      </c>
      <c r="W17" s="12">
        <f t="shared" si="2"/>
        <v>5</v>
      </c>
      <c r="X17" s="12">
        <f t="shared" si="2"/>
        <v>5</v>
      </c>
      <c r="Y17" s="12">
        <f t="shared" si="2"/>
        <v>5</v>
      </c>
      <c r="Z17" s="12">
        <f t="shared" si="2"/>
        <v>0</v>
      </c>
      <c r="AA17" s="12">
        <f t="shared" si="2"/>
        <v>0</v>
      </c>
      <c r="AB17" s="12">
        <f t="shared" si="2"/>
        <v>0</v>
      </c>
      <c r="AC17" s="12">
        <f t="shared" si="2"/>
        <v>5</v>
      </c>
      <c r="AD17" s="12">
        <f t="shared" si="2"/>
        <v>5</v>
      </c>
      <c r="AE17" s="12">
        <f t="shared" si="2"/>
        <v>5</v>
      </c>
      <c r="AF17" s="12">
        <f t="shared" si="2"/>
        <v>5</v>
      </c>
      <c r="AG17" s="12">
        <f t="shared" si="2"/>
        <v>0</v>
      </c>
      <c r="AH17" s="12">
        <f t="shared" si="2"/>
        <v>0</v>
      </c>
      <c r="AI17" s="12">
        <f t="shared" si="2"/>
        <v>0</v>
      </c>
      <c r="AJ17" s="12">
        <f t="shared" si="2"/>
        <v>5</v>
      </c>
      <c r="AK17" s="12">
        <f t="shared" si="2"/>
        <v>5</v>
      </c>
      <c r="AL17" s="28">
        <f>SUM(AL5:AL16)</f>
        <v>90</v>
      </c>
      <c r="AM17" s="114"/>
      <c r="AN17" s="26">
        <f>SUM(AN5:AN16)</f>
        <v>50400</v>
      </c>
    </row>
  </sheetData>
  <mergeCells count="5">
    <mergeCell ref="AN2:AN4"/>
    <mergeCell ref="B2:AL2"/>
    <mergeCell ref="B3:AL3"/>
    <mergeCell ref="B17:G17"/>
    <mergeCell ref="AM2:AM4"/>
  </mergeCells>
  <conditionalFormatting sqref="C3">
    <cfRule type="duplicateValues" dxfId="321" priority="1049"/>
  </conditionalFormatting>
  <conditionalFormatting sqref="C4">
    <cfRule type="duplicateValues" dxfId="320" priority="1051"/>
  </conditionalFormatting>
  <conditionalFormatting sqref="C18:C1048576">
    <cfRule type="duplicateValues" dxfId="319" priority="1536"/>
    <cfRule type="duplicateValues" dxfId="318" priority="1538"/>
  </conditionalFormatting>
  <conditionalFormatting sqref="C5:F5">
    <cfRule type="duplicateValues" dxfId="317" priority="171"/>
  </conditionalFormatting>
  <conditionalFormatting sqref="C7:F7">
    <cfRule type="duplicateValues" dxfId="316" priority="167"/>
  </conditionalFormatting>
  <conditionalFormatting sqref="C8:F8">
    <cfRule type="duplicateValues" dxfId="315" priority="169"/>
  </conditionalFormatting>
  <conditionalFormatting sqref="C15:F15">
    <cfRule type="duplicateValues" dxfId="314" priority="168"/>
  </conditionalFormatting>
  <conditionalFormatting sqref="C16:F16">
    <cfRule type="duplicateValues" dxfId="313" priority="164"/>
  </conditionalFormatting>
  <conditionalFormatting sqref="H3:AK16">
    <cfRule type="cellIs" dxfId="312" priority="301" operator="equal">
      <formula>"a"</formula>
    </cfRule>
  </conditionalFormatting>
  <conditionalFormatting sqref="C9:F14">
    <cfRule type="duplicateValues" dxfId="311" priority="1683"/>
  </conditionalFormatting>
  <conditionalFormatting sqref="C5 C7:C16">
    <cfRule type="duplicateValues" dxfId="310" priority="1686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67"/>
  <sheetViews>
    <sheetView zoomScaleNormal="100" workbookViewId="0">
      <pane xSplit="5" ySplit="4" topLeftCell="F20" activePane="bottomRight" state="frozen"/>
      <selection pane="topRight" activeCell="F1" sqref="F1"/>
      <selection pane="bottomLeft" activeCell="A5" sqref="A5"/>
      <selection pane="bottomRight" activeCell="C38" sqref="C38"/>
    </sheetView>
  </sheetViews>
  <sheetFormatPr defaultRowHeight="14.4" x14ac:dyDescent="0.3"/>
  <cols>
    <col min="1" max="1" width="3.109375" style="1" customWidth="1"/>
    <col min="2" max="2" width="5.33203125" style="1" customWidth="1"/>
    <col min="3" max="3" width="8.109375" style="1" customWidth="1"/>
    <col min="4" max="4" width="8.109375" style="2" customWidth="1"/>
    <col min="5" max="5" width="19.33203125" style="2" customWidth="1"/>
    <col min="6" max="6" width="19.109375" style="1" customWidth="1"/>
    <col min="7" max="7" width="5.5546875" style="1" customWidth="1"/>
    <col min="8" max="15" width="3.6640625" style="1" customWidth="1"/>
    <col min="16" max="19" width="3.6640625" style="4" customWidth="1"/>
    <col min="20" max="37" width="3.6640625" style="1" customWidth="1"/>
    <col min="38" max="38" width="5" customWidth="1"/>
    <col min="39" max="39" width="9" bestFit="1" customWidth="1"/>
    <col min="40" max="40" width="12.44140625" bestFit="1" customWidth="1"/>
  </cols>
  <sheetData>
    <row r="2" spans="1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30" t="s">
        <v>467</v>
      </c>
      <c r="AN2" s="129" t="s">
        <v>468</v>
      </c>
    </row>
    <row r="3" spans="1:40" ht="18" customHeight="1" x14ac:dyDescent="0.3">
      <c r="B3" s="127" t="s">
        <v>783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30"/>
      <c r="AN3" s="129"/>
    </row>
    <row r="4" spans="1:40" s="54" customFormat="1" ht="18" customHeight="1" x14ac:dyDescent="0.2">
      <c r="A4" s="24"/>
      <c r="B4" s="46" t="s">
        <v>5</v>
      </c>
      <c r="C4" s="46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30"/>
      <c r="AN4" s="129"/>
    </row>
    <row r="5" spans="1:40" ht="18" customHeight="1" x14ac:dyDescent="0.3">
      <c r="B5" s="8">
        <v>1</v>
      </c>
      <c r="C5" s="115">
        <v>34071</v>
      </c>
      <c r="D5" s="19"/>
      <c r="E5" s="19" t="s">
        <v>182</v>
      </c>
      <c r="F5" s="19" t="s">
        <v>183</v>
      </c>
      <c r="G5" s="11" t="s">
        <v>0</v>
      </c>
      <c r="H5" s="9" t="s">
        <v>48</v>
      </c>
      <c r="I5" s="9" t="s">
        <v>48</v>
      </c>
      <c r="J5" s="9"/>
      <c r="K5" s="9"/>
      <c r="L5" s="9" t="s">
        <v>48</v>
      </c>
      <c r="M5" s="9" t="s">
        <v>48</v>
      </c>
      <c r="N5" s="9" t="s">
        <v>48</v>
      </c>
      <c r="O5" s="9" t="s">
        <v>48</v>
      </c>
      <c r="P5" s="9" t="s">
        <v>48</v>
      </c>
      <c r="Q5" s="9"/>
      <c r="R5" s="9"/>
      <c r="S5" s="9"/>
      <c r="T5" s="9"/>
      <c r="U5" s="9"/>
      <c r="V5" s="9"/>
      <c r="W5" s="9"/>
      <c r="X5" s="9" t="s">
        <v>290</v>
      </c>
      <c r="Y5" s="9" t="s">
        <v>290</v>
      </c>
      <c r="Z5" s="9"/>
      <c r="AA5" s="9" t="s">
        <v>48</v>
      </c>
      <c r="AB5" s="9" t="s">
        <v>48</v>
      </c>
      <c r="AC5" s="9" t="s">
        <v>48</v>
      </c>
      <c r="AD5" s="9" t="s">
        <v>48</v>
      </c>
      <c r="AE5" s="9"/>
      <c r="AF5" s="9"/>
      <c r="AG5" s="9"/>
      <c r="AH5" s="9" t="s">
        <v>48</v>
      </c>
      <c r="AI5" s="9" t="s">
        <v>48</v>
      </c>
      <c r="AJ5" s="9" t="s">
        <v>48</v>
      </c>
      <c r="AK5" s="9" t="s">
        <v>48</v>
      </c>
      <c r="AL5" s="12">
        <f t="shared" ref="AL5:AL23" si="0">COUNTIF(G5:AK5,"P")+COUNTIF(G5:AK5,"PP")+COUNTIF(G5:AK5,"PP")</f>
        <v>17</v>
      </c>
      <c r="AM5" s="36">
        <v>600</v>
      </c>
      <c r="AN5" s="36">
        <f t="shared" ref="AN5:AN23" si="1">AL5*AM5</f>
        <v>10200</v>
      </c>
    </row>
    <row r="6" spans="1:40" ht="18" customHeight="1" x14ac:dyDescent="0.3">
      <c r="B6" s="94">
        <v>2</v>
      </c>
      <c r="C6" s="115">
        <v>33792</v>
      </c>
      <c r="D6" s="19"/>
      <c r="E6" s="19" t="s">
        <v>193</v>
      </c>
      <c r="F6" s="19" t="s">
        <v>670</v>
      </c>
      <c r="G6" s="11" t="s">
        <v>0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 t="s">
        <v>48</v>
      </c>
      <c r="AF6" s="95" t="s">
        <v>48</v>
      </c>
      <c r="AG6" s="95"/>
      <c r="AH6" s="95"/>
      <c r="AI6" s="95"/>
      <c r="AJ6" s="95"/>
      <c r="AK6" s="95"/>
      <c r="AL6" s="12">
        <f t="shared" si="0"/>
        <v>2</v>
      </c>
      <c r="AM6" s="36">
        <v>600</v>
      </c>
      <c r="AN6" s="36">
        <f t="shared" si="1"/>
        <v>1200</v>
      </c>
    </row>
    <row r="7" spans="1:40" ht="18" customHeight="1" x14ac:dyDescent="0.3">
      <c r="B7" s="94">
        <v>3</v>
      </c>
      <c r="C7" s="115">
        <v>33865</v>
      </c>
      <c r="D7" s="19"/>
      <c r="E7" s="19" t="s">
        <v>74</v>
      </c>
      <c r="F7" s="19" t="s">
        <v>75</v>
      </c>
      <c r="G7" s="10" t="s">
        <v>1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 t="s">
        <v>48</v>
      </c>
      <c r="AH7" s="95" t="s">
        <v>48</v>
      </c>
      <c r="AI7" s="95" t="s">
        <v>48</v>
      </c>
      <c r="AJ7" s="95" t="s">
        <v>48</v>
      </c>
      <c r="AK7" s="95" t="s">
        <v>48</v>
      </c>
      <c r="AL7" s="12">
        <f t="shared" si="0"/>
        <v>5</v>
      </c>
      <c r="AM7" s="36">
        <v>600</v>
      </c>
      <c r="AN7" s="36">
        <f t="shared" si="1"/>
        <v>3000</v>
      </c>
    </row>
    <row r="8" spans="1:40" ht="18" customHeight="1" x14ac:dyDescent="0.3">
      <c r="B8" s="99">
        <v>4</v>
      </c>
      <c r="C8" s="175">
        <v>33680</v>
      </c>
      <c r="D8" s="19"/>
      <c r="E8" s="19" t="s">
        <v>171</v>
      </c>
      <c r="F8" s="19" t="s">
        <v>284</v>
      </c>
      <c r="G8" s="10" t="s">
        <v>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 t="s">
        <v>48</v>
      </c>
      <c r="AK8" s="9" t="s">
        <v>48</v>
      </c>
      <c r="AL8" s="12">
        <f t="shared" si="0"/>
        <v>2</v>
      </c>
      <c r="AM8" s="36">
        <v>570</v>
      </c>
      <c r="AN8" s="36">
        <f t="shared" si="1"/>
        <v>1140</v>
      </c>
    </row>
    <row r="9" spans="1:40" ht="18" customHeight="1" x14ac:dyDescent="0.3">
      <c r="B9" s="99">
        <v>5</v>
      </c>
      <c r="C9" s="7">
        <v>33910</v>
      </c>
      <c r="D9" s="19"/>
      <c r="E9" s="19" t="s">
        <v>49</v>
      </c>
      <c r="F9" s="19" t="s">
        <v>50</v>
      </c>
      <c r="G9" s="10" t="s">
        <v>1</v>
      </c>
      <c r="H9" s="9"/>
      <c r="I9" s="9"/>
      <c r="J9" s="9"/>
      <c r="K9" s="9"/>
      <c r="L9" s="9"/>
      <c r="M9" s="9"/>
      <c r="N9" s="9" t="s">
        <v>48</v>
      </c>
      <c r="O9" s="9" t="s">
        <v>48</v>
      </c>
      <c r="P9" s="9" t="s">
        <v>48</v>
      </c>
      <c r="Q9" s="9" t="s">
        <v>48</v>
      </c>
      <c r="R9" s="9" t="s">
        <v>48</v>
      </c>
      <c r="S9" s="9" t="s">
        <v>48</v>
      </c>
      <c r="T9" s="9" t="s">
        <v>48</v>
      </c>
      <c r="U9" s="9" t="s">
        <v>48</v>
      </c>
      <c r="V9" s="9" t="s">
        <v>48</v>
      </c>
      <c r="W9" s="9" t="s">
        <v>48</v>
      </c>
      <c r="X9" s="9" t="s">
        <v>48</v>
      </c>
      <c r="Y9" s="9" t="s">
        <v>48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2">
        <f t="shared" si="0"/>
        <v>12</v>
      </c>
      <c r="AM9" s="36">
        <v>570</v>
      </c>
      <c r="AN9" s="36">
        <f t="shared" si="1"/>
        <v>6840</v>
      </c>
    </row>
    <row r="10" spans="1:40" ht="18" customHeight="1" x14ac:dyDescent="0.3">
      <c r="B10" s="99">
        <v>6</v>
      </c>
      <c r="C10" s="7">
        <v>33720</v>
      </c>
      <c r="D10" s="19"/>
      <c r="E10" s="19" t="s">
        <v>51</v>
      </c>
      <c r="F10" s="19" t="s">
        <v>52</v>
      </c>
      <c r="G10" s="10" t="s">
        <v>1</v>
      </c>
      <c r="H10" s="9" t="s">
        <v>48</v>
      </c>
      <c r="I10" s="9" t="s">
        <v>48</v>
      </c>
      <c r="J10" s="9" t="s">
        <v>48</v>
      </c>
      <c r="K10" s="9" t="s">
        <v>48</v>
      </c>
      <c r="L10" s="9" t="s">
        <v>48</v>
      </c>
      <c r="M10" s="9" t="s">
        <v>48</v>
      </c>
      <c r="N10" s="9" t="s">
        <v>48</v>
      </c>
      <c r="O10" s="9"/>
      <c r="P10" s="9"/>
      <c r="Q10" s="9"/>
      <c r="R10" s="9"/>
      <c r="S10" s="9" t="s">
        <v>48</v>
      </c>
      <c r="T10" s="9" t="s">
        <v>48</v>
      </c>
      <c r="U10" s="9" t="s">
        <v>48</v>
      </c>
      <c r="V10" s="9" t="s">
        <v>48</v>
      </c>
      <c r="W10" s="9" t="s">
        <v>48</v>
      </c>
      <c r="X10" s="9" t="s">
        <v>48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2">
        <f t="shared" si="0"/>
        <v>13</v>
      </c>
      <c r="AM10" s="36">
        <v>570</v>
      </c>
      <c r="AN10" s="36">
        <f t="shared" si="1"/>
        <v>7410</v>
      </c>
    </row>
    <row r="11" spans="1:40" ht="18" customHeight="1" x14ac:dyDescent="0.3">
      <c r="B11" s="99">
        <v>7</v>
      </c>
      <c r="C11" s="7">
        <v>34006</v>
      </c>
      <c r="D11" s="19"/>
      <c r="E11" s="19" t="s">
        <v>53</v>
      </c>
      <c r="F11" s="19" t="s">
        <v>54</v>
      </c>
      <c r="G11" s="10" t="s">
        <v>1</v>
      </c>
      <c r="H11" s="9" t="s">
        <v>48</v>
      </c>
      <c r="I11" s="9" t="s">
        <v>48</v>
      </c>
      <c r="J11" s="9" t="s">
        <v>48</v>
      </c>
      <c r="K11" s="9"/>
      <c r="L11" s="9"/>
      <c r="M11" s="9"/>
      <c r="N11" s="9"/>
      <c r="O11" s="9" t="s">
        <v>48</v>
      </c>
      <c r="P11" s="9" t="s">
        <v>48</v>
      </c>
      <c r="Q11" s="9"/>
      <c r="R11" s="9"/>
      <c r="S11" s="9" t="s">
        <v>48</v>
      </c>
      <c r="T11" s="9" t="s">
        <v>48</v>
      </c>
      <c r="U11" s="9" t="s">
        <v>48</v>
      </c>
      <c r="V11" s="9" t="s">
        <v>48</v>
      </c>
      <c r="W11" s="9"/>
      <c r="X11" s="9" t="s">
        <v>290</v>
      </c>
      <c r="Y11" s="9" t="s">
        <v>290</v>
      </c>
      <c r="Z11" s="9"/>
      <c r="AA11" s="9"/>
      <c r="AB11" s="9" t="s">
        <v>48</v>
      </c>
      <c r="AC11" s="9" t="s">
        <v>48</v>
      </c>
      <c r="AD11" s="9" t="s">
        <v>48</v>
      </c>
      <c r="AE11" s="9" t="s">
        <v>48</v>
      </c>
      <c r="AF11" s="9"/>
      <c r="AG11" s="9"/>
      <c r="AH11" s="9"/>
      <c r="AI11" s="9"/>
      <c r="AJ11" s="9"/>
      <c r="AK11" s="9"/>
      <c r="AL11" s="12">
        <f t="shared" si="0"/>
        <v>15</v>
      </c>
      <c r="AM11" s="36">
        <v>570</v>
      </c>
      <c r="AN11" s="36">
        <f t="shared" si="1"/>
        <v>8550</v>
      </c>
    </row>
    <row r="12" spans="1:40" ht="18" customHeight="1" x14ac:dyDescent="0.3">
      <c r="B12" s="99">
        <v>8</v>
      </c>
      <c r="C12" s="175">
        <v>33676</v>
      </c>
      <c r="D12" s="19"/>
      <c r="E12" s="19" t="s">
        <v>184</v>
      </c>
      <c r="F12" s="19" t="s">
        <v>185</v>
      </c>
      <c r="G12" s="10" t="s">
        <v>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 t="s">
        <v>48</v>
      </c>
      <c r="AL12" s="12">
        <f t="shared" si="0"/>
        <v>1</v>
      </c>
      <c r="AM12" s="36">
        <v>570</v>
      </c>
      <c r="AN12" s="36">
        <f t="shared" si="1"/>
        <v>570</v>
      </c>
    </row>
    <row r="13" spans="1:40" ht="18" customHeight="1" x14ac:dyDescent="0.3">
      <c r="B13" s="99">
        <v>9</v>
      </c>
      <c r="C13" s="175">
        <v>33662</v>
      </c>
      <c r="D13" s="19"/>
      <c r="E13" s="19" t="s">
        <v>87</v>
      </c>
      <c r="F13" s="19" t="s">
        <v>88</v>
      </c>
      <c r="G13" s="10" t="s">
        <v>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 t="s">
        <v>48</v>
      </c>
      <c r="AL13" s="12">
        <f t="shared" si="0"/>
        <v>1</v>
      </c>
      <c r="AM13" s="36">
        <v>570</v>
      </c>
      <c r="AN13" s="36">
        <f t="shared" si="1"/>
        <v>570</v>
      </c>
    </row>
    <row r="14" spans="1:40" ht="18" customHeight="1" x14ac:dyDescent="0.3">
      <c r="B14" s="99">
        <v>10</v>
      </c>
      <c r="C14" s="175">
        <v>33608</v>
      </c>
      <c r="D14" s="19"/>
      <c r="E14" s="19" t="s">
        <v>180</v>
      </c>
      <c r="F14" s="19" t="s">
        <v>181</v>
      </c>
      <c r="G14" s="10" t="s">
        <v>1</v>
      </c>
      <c r="H14" s="9" t="s">
        <v>48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12">
        <f t="shared" si="0"/>
        <v>1</v>
      </c>
      <c r="AM14" s="36">
        <v>570</v>
      </c>
      <c r="AN14" s="36">
        <f t="shared" si="1"/>
        <v>570</v>
      </c>
    </row>
    <row r="15" spans="1:40" ht="18" customHeight="1" x14ac:dyDescent="0.3">
      <c r="B15" s="99">
        <v>11</v>
      </c>
      <c r="C15" s="175">
        <v>33576</v>
      </c>
      <c r="D15" s="19"/>
      <c r="E15" s="19" t="s">
        <v>223</v>
      </c>
      <c r="F15" s="19" t="s">
        <v>224</v>
      </c>
      <c r="G15" s="10" t="s">
        <v>1</v>
      </c>
      <c r="H15" s="9" t="s">
        <v>48</v>
      </c>
      <c r="I15" s="9" t="s">
        <v>48</v>
      </c>
      <c r="J15" s="9" t="s">
        <v>48</v>
      </c>
      <c r="K15" s="9" t="s">
        <v>48</v>
      </c>
      <c r="L15" s="9" t="s">
        <v>48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12">
        <f t="shared" si="0"/>
        <v>5</v>
      </c>
      <c r="AM15" s="36">
        <v>570</v>
      </c>
      <c r="AN15" s="36">
        <f t="shared" si="1"/>
        <v>2850</v>
      </c>
    </row>
    <row r="16" spans="1:40" ht="18" customHeight="1" x14ac:dyDescent="0.3">
      <c r="B16" s="99">
        <v>12</v>
      </c>
      <c r="C16" s="111" t="s">
        <v>420</v>
      </c>
      <c r="D16" s="19"/>
      <c r="E16" s="103" t="s">
        <v>283</v>
      </c>
      <c r="F16" s="103" t="s">
        <v>93</v>
      </c>
      <c r="G16" s="10" t="s">
        <v>1</v>
      </c>
      <c r="H16" s="91"/>
      <c r="I16" s="91" t="s">
        <v>48</v>
      </c>
      <c r="J16" s="91" t="s">
        <v>48</v>
      </c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12">
        <f t="shared" si="0"/>
        <v>2</v>
      </c>
      <c r="AM16" s="36">
        <v>570</v>
      </c>
      <c r="AN16" s="36">
        <f t="shared" si="1"/>
        <v>1140</v>
      </c>
    </row>
    <row r="17" spans="1:40" ht="18" customHeight="1" x14ac:dyDescent="0.3">
      <c r="B17" s="99">
        <v>13</v>
      </c>
      <c r="C17" s="111" t="s">
        <v>463</v>
      </c>
      <c r="D17" s="19"/>
      <c r="E17" s="103" t="s">
        <v>365</v>
      </c>
      <c r="F17" s="103" t="s">
        <v>366</v>
      </c>
      <c r="G17" s="10" t="s">
        <v>1</v>
      </c>
      <c r="H17" s="91"/>
      <c r="I17" s="91" t="s">
        <v>48</v>
      </c>
      <c r="J17" s="91" t="s">
        <v>48</v>
      </c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12">
        <f t="shared" si="0"/>
        <v>2</v>
      </c>
      <c r="AM17" s="36">
        <v>570</v>
      </c>
      <c r="AN17" s="36">
        <f t="shared" si="1"/>
        <v>1140</v>
      </c>
    </row>
    <row r="18" spans="1:40" ht="18" customHeight="1" x14ac:dyDescent="0.3">
      <c r="B18" s="99">
        <v>14</v>
      </c>
      <c r="C18" s="111" t="s">
        <v>336</v>
      </c>
      <c r="D18" s="19"/>
      <c r="E18" s="103" t="s">
        <v>335</v>
      </c>
      <c r="F18" s="103" t="s">
        <v>213</v>
      </c>
      <c r="G18" s="10" t="s">
        <v>1</v>
      </c>
      <c r="H18" s="91"/>
      <c r="I18" s="91"/>
      <c r="J18" s="91" t="s">
        <v>48</v>
      </c>
      <c r="K18" s="91" t="s">
        <v>48</v>
      </c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 t="s">
        <v>48</v>
      </c>
      <c r="AF18" s="91" t="s">
        <v>48</v>
      </c>
      <c r="AG18" s="91"/>
      <c r="AH18" s="91"/>
      <c r="AI18" s="91"/>
      <c r="AJ18" s="91"/>
      <c r="AK18" s="91"/>
      <c r="AL18" s="12">
        <f t="shared" si="0"/>
        <v>4</v>
      </c>
      <c r="AM18" s="36">
        <v>570</v>
      </c>
      <c r="AN18" s="36">
        <f t="shared" si="1"/>
        <v>2280</v>
      </c>
    </row>
    <row r="19" spans="1:40" ht="18" customHeight="1" x14ac:dyDescent="0.3">
      <c r="B19" s="99">
        <v>15</v>
      </c>
      <c r="C19" s="7" t="s">
        <v>59</v>
      </c>
      <c r="D19" s="19"/>
      <c r="E19" s="104" t="s">
        <v>70</v>
      </c>
      <c r="F19" s="104" t="s">
        <v>71</v>
      </c>
      <c r="G19" s="10" t="s">
        <v>1</v>
      </c>
      <c r="H19" s="91"/>
      <c r="I19" s="91"/>
      <c r="J19" s="91"/>
      <c r="K19" s="91" t="s">
        <v>48</v>
      </c>
      <c r="L19" s="91" t="s">
        <v>48</v>
      </c>
      <c r="M19" s="91"/>
      <c r="N19" s="91" t="s">
        <v>48</v>
      </c>
      <c r="O19" s="91" t="s">
        <v>48</v>
      </c>
      <c r="P19" s="91" t="s">
        <v>48</v>
      </c>
      <c r="Q19" s="91" t="s">
        <v>48</v>
      </c>
      <c r="R19" s="91" t="s">
        <v>48</v>
      </c>
      <c r="S19" s="91" t="s">
        <v>48</v>
      </c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12">
        <f t="shared" si="0"/>
        <v>8</v>
      </c>
      <c r="AM19" s="36">
        <v>570</v>
      </c>
      <c r="AN19" s="36">
        <f t="shared" si="1"/>
        <v>4560</v>
      </c>
    </row>
    <row r="20" spans="1:40" ht="18" customHeight="1" x14ac:dyDescent="0.3">
      <c r="B20" s="99">
        <v>16</v>
      </c>
      <c r="C20" s="174" t="s">
        <v>410</v>
      </c>
      <c r="D20" s="19"/>
      <c r="E20" s="103" t="s">
        <v>408</v>
      </c>
      <c r="F20" s="103" t="s">
        <v>409</v>
      </c>
      <c r="G20" s="10" t="s">
        <v>1</v>
      </c>
      <c r="H20" s="91"/>
      <c r="I20" s="91"/>
      <c r="J20" s="91"/>
      <c r="K20" s="91" t="s">
        <v>48</v>
      </c>
      <c r="L20" s="91" t="s">
        <v>48</v>
      </c>
      <c r="M20" s="91"/>
      <c r="N20" s="91"/>
      <c r="O20" s="91"/>
      <c r="P20" s="91"/>
      <c r="Q20" s="91"/>
      <c r="R20" s="91" t="s">
        <v>48</v>
      </c>
      <c r="S20" s="91" t="s">
        <v>48</v>
      </c>
      <c r="T20" s="91" t="s">
        <v>48</v>
      </c>
      <c r="U20" s="91" t="s">
        <v>48</v>
      </c>
      <c r="V20" s="91" t="s">
        <v>48</v>
      </c>
      <c r="W20" s="91" t="s">
        <v>48</v>
      </c>
      <c r="X20" s="91" t="s">
        <v>48</v>
      </c>
      <c r="Y20" s="91" t="s">
        <v>48</v>
      </c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12">
        <f t="shared" si="0"/>
        <v>10</v>
      </c>
      <c r="AM20" s="36">
        <v>570</v>
      </c>
      <c r="AN20" s="36">
        <f t="shared" si="1"/>
        <v>5700</v>
      </c>
    </row>
    <row r="21" spans="1:40" ht="18" customHeight="1" x14ac:dyDescent="0.3">
      <c r="B21" s="99">
        <v>17</v>
      </c>
      <c r="C21" s="7">
        <v>34008</v>
      </c>
      <c r="D21" s="19"/>
      <c r="E21" s="19" t="s">
        <v>168</v>
      </c>
      <c r="F21" s="19" t="s">
        <v>169</v>
      </c>
      <c r="G21" s="11" t="s"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 t="s">
        <v>48</v>
      </c>
      <c r="AG21" s="9" t="s">
        <v>48</v>
      </c>
      <c r="AH21" s="9"/>
      <c r="AI21" s="9"/>
      <c r="AJ21" s="9"/>
      <c r="AK21" s="9"/>
      <c r="AL21" s="12">
        <f t="shared" si="0"/>
        <v>2</v>
      </c>
      <c r="AM21" s="36">
        <v>600</v>
      </c>
      <c r="AN21" s="36">
        <f t="shared" si="1"/>
        <v>1200</v>
      </c>
    </row>
    <row r="22" spans="1:40" ht="18" customHeight="1" x14ac:dyDescent="0.3">
      <c r="B22" s="99">
        <v>18</v>
      </c>
      <c r="C22" s="7">
        <v>33987</v>
      </c>
      <c r="D22" s="19"/>
      <c r="E22" s="19" t="s">
        <v>452</v>
      </c>
      <c r="F22" s="19" t="s">
        <v>249</v>
      </c>
      <c r="G22" s="10" t="s">
        <v>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 t="s">
        <v>48</v>
      </c>
      <c r="AH22" s="9" t="s">
        <v>48</v>
      </c>
      <c r="AI22" s="9"/>
      <c r="AJ22" s="9"/>
      <c r="AK22" s="9"/>
      <c r="AL22" s="12">
        <f t="shared" si="0"/>
        <v>2</v>
      </c>
      <c r="AM22" s="36">
        <v>570</v>
      </c>
      <c r="AN22" s="36">
        <f t="shared" si="1"/>
        <v>1140</v>
      </c>
    </row>
    <row r="23" spans="1:40" ht="18" customHeight="1" x14ac:dyDescent="0.3">
      <c r="B23" s="99">
        <v>19</v>
      </c>
      <c r="C23" s="7" t="s">
        <v>321</v>
      </c>
      <c r="D23" s="19"/>
      <c r="E23" s="19" t="s">
        <v>319</v>
      </c>
      <c r="F23" s="19" t="s">
        <v>320</v>
      </c>
      <c r="G23" s="10" t="s">
        <v>1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48</v>
      </c>
      <c r="S23" s="9" t="s">
        <v>48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2">
        <f t="shared" si="0"/>
        <v>2</v>
      </c>
      <c r="AM23" s="36">
        <v>570</v>
      </c>
      <c r="AN23" s="36">
        <f t="shared" si="1"/>
        <v>1140</v>
      </c>
    </row>
    <row r="24" spans="1:40" ht="18" customHeight="1" x14ac:dyDescent="0.3">
      <c r="B24" s="128" t="s">
        <v>15</v>
      </c>
      <c r="C24" s="128"/>
      <c r="D24" s="128"/>
      <c r="E24" s="128"/>
      <c r="F24" s="128"/>
      <c r="G24" s="128"/>
      <c r="H24" s="12">
        <f>COUNTIF(H5:H23,"P")+COUNTIF(H5:H23,"PP")+COUNTIF(H5:H23,"PP")</f>
        <v>5</v>
      </c>
      <c r="I24" s="12">
        <f t="shared" ref="I24:AK24" si="2">COUNTIF(I5:I23,"P")+COUNTIF(I12:I23,"PP")+COUNTIF(I12:I23,"PP")</f>
        <v>6</v>
      </c>
      <c r="J24" s="12">
        <f t="shared" si="2"/>
        <v>6</v>
      </c>
      <c r="K24" s="12">
        <f t="shared" si="2"/>
        <v>5</v>
      </c>
      <c r="L24" s="12">
        <f t="shared" si="2"/>
        <v>5</v>
      </c>
      <c r="M24" s="12">
        <f t="shared" si="2"/>
        <v>2</v>
      </c>
      <c r="N24" s="12">
        <f t="shared" si="2"/>
        <v>4</v>
      </c>
      <c r="O24" s="12">
        <f t="shared" si="2"/>
        <v>4</v>
      </c>
      <c r="P24" s="12">
        <f t="shared" si="2"/>
        <v>4</v>
      </c>
      <c r="Q24" s="12">
        <f t="shared" si="2"/>
        <v>2</v>
      </c>
      <c r="R24" s="12">
        <f t="shared" si="2"/>
        <v>4</v>
      </c>
      <c r="S24" s="12">
        <f t="shared" si="2"/>
        <v>6</v>
      </c>
      <c r="T24" s="12">
        <f t="shared" si="2"/>
        <v>4</v>
      </c>
      <c r="U24" s="12">
        <f t="shared" si="2"/>
        <v>4</v>
      </c>
      <c r="V24" s="12">
        <f t="shared" si="2"/>
        <v>4</v>
      </c>
      <c r="W24" s="12">
        <f t="shared" si="2"/>
        <v>3</v>
      </c>
      <c r="X24" s="12">
        <f t="shared" si="2"/>
        <v>5</v>
      </c>
      <c r="Y24" s="12">
        <f t="shared" si="2"/>
        <v>4</v>
      </c>
      <c r="Z24" s="12">
        <f t="shared" si="2"/>
        <v>0</v>
      </c>
      <c r="AA24" s="12">
        <f t="shared" si="2"/>
        <v>1</v>
      </c>
      <c r="AB24" s="12">
        <f t="shared" si="2"/>
        <v>2</v>
      </c>
      <c r="AC24" s="12">
        <f t="shared" si="2"/>
        <v>2</v>
      </c>
      <c r="AD24" s="12">
        <f t="shared" si="2"/>
        <v>2</v>
      </c>
      <c r="AE24" s="12">
        <f t="shared" si="2"/>
        <v>3</v>
      </c>
      <c r="AF24" s="12">
        <f t="shared" si="2"/>
        <v>3</v>
      </c>
      <c r="AG24" s="12">
        <f t="shared" si="2"/>
        <v>3</v>
      </c>
      <c r="AH24" s="12">
        <f t="shared" si="2"/>
        <v>3</v>
      </c>
      <c r="AI24" s="12">
        <f t="shared" si="2"/>
        <v>2</v>
      </c>
      <c r="AJ24" s="12">
        <f t="shared" si="2"/>
        <v>3</v>
      </c>
      <c r="AK24" s="12">
        <f t="shared" si="2"/>
        <v>5</v>
      </c>
      <c r="AL24" s="28">
        <f>SUM(AL5:AL23)</f>
        <v>106</v>
      </c>
      <c r="AN24" s="37">
        <f>SUM(AN5:AN23)</f>
        <v>61200</v>
      </c>
    </row>
    <row r="26" spans="1:40" ht="22.8" x14ac:dyDescent="0.3">
      <c r="B26" s="124" t="s">
        <v>14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6"/>
      <c r="AM26" s="132" t="s">
        <v>464</v>
      </c>
      <c r="AN26" s="133" t="s">
        <v>468</v>
      </c>
    </row>
    <row r="27" spans="1:40" ht="18" customHeight="1" x14ac:dyDescent="0.3">
      <c r="B27" s="127" t="s">
        <v>784</v>
      </c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32"/>
      <c r="AN27" s="133"/>
    </row>
    <row r="28" spans="1:40" s="54" customFormat="1" ht="18" customHeight="1" x14ac:dyDescent="0.2">
      <c r="A28" s="24"/>
      <c r="B28" s="46" t="s">
        <v>5</v>
      </c>
      <c r="C28" s="46" t="s">
        <v>2</v>
      </c>
      <c r="D28" s="46" t="s">
        <v>16</v>
      </c>
      <c r="E28" s="47" t="s">
        <v>3</v>
      </c>
      <c r="F28" s="47" t="s">
        <v>4</v>
      </c>
      <c r="G28" s="46" t="s">
        <v>7</v>
      </c>
      <c r="H28" s="46">
        <v>1</v>
      </c>
      <c r="I28" s="46">
        <v>2</v>
      </c>
      <c r="J28" s="46">
        <v>3</v>
      </c>
      <c r="K28" s="46">
        <v>4</v>
      </c>
      <c r="L28" s="46">
        <v>5</v>
      </c>
      <c r="M28" s="46">
        <v>6</v>
      </c>
      <c r="N28" s="46">
        <v>7</v>
      </c>
      <c r="O28" s="46">
        <v>8</v>
      </c>
      <c r="P28" s="46">
        <v>9</v>
      </c>
      <c r="Q28" s="46">
        <v>10</v>
      </c>
      <c r="R28" s="46">
        <v>11</v>
      </c>
      <c r="S28" s="46">
        <v>12</v>
      </c>
      <c r="T28" s="46">
        <v>13</v>
      </c>
      <c r="U28" s="46">
        <v>14</v>
      </c>
      <c r="V28" s="46">
        <v>15</v>
      </c>
      <c r="W28" s="46">
        <v>16</v>
      </c>
      <c r="X28" s="46">
        <v>17</v>
      </c>
      <c r="Y28" s="46">
        <v>18</v>
      </c>
      <c r="Z28" s="46">
        <v>19</v>
      </c>
      <c r="AA28" s="46">
        <v>20</v>
      </c>
      <c r="AB28" s="46">
        <v>21</v>
      </c>
      <c r="AC28" s="46">
        <v>22</v>
      </c>
      <c r="AD28" s="46">
        <v>23</v>
      </c>
      <c r="AE28" s="46">
        <v>24</v>
      </c>
      <c r="AF28" s="46">
        <v>25</v>
      </c>
      <c r="AG28" s="46">
        <v>26</v>
      </c>
      <c r="AH28" s="46">
        <v>27</v>
      </c>
      <c r="AI28" s="46">
        <v>28</v>
      </c>
      <c r="AJ28" s="46">
        <v>29</v>
      </c>
      <c r="AK28" s="46">
        <v>30</v>
      </c>
      <c r="AL28" s="48" t="s">
        <v>6</v>
      </c>
      <c r="AM28" s="132"/>
      <c r="AN28" s="133"/>
    </row>
    <row r="29" spans="1:40" ht="18" customHeight="1" x14ac:dyDescent="0.3">
      <c r="B29" s="105">
        <v>1</v>
      </c>
      <c r="C29" s="116">
        <v>33869</v>
      </c>
      <c r="D29" s="20"/>
      <c r="E29" s="20" t="s">
        <v>302</v>
      </c>
      <c r="F29" s="20" t="s">
        <v>303</v>
      </c>
      <c r="G29" s="11" t="s">
        <v>0</v>
      </c>
      <c r="H29" s="9" t="s">
        <v>48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12">
        <f t="shared" ref="AL29:AL51" si="3">COUNTIF(G29:AK29,"P")+COUNTIF(G29:AK29,"PP")+COUNTIF(G29:AK29,"PP")</f>
        <v>1</v>
      </c>
      <c r="AM29" s="36">
        <v>600</v>
      </c>
      <c r="AN29" s="36">
        <f>AL29*AM29</f>
        <v>600</v>
      </c>
    </row>
    <row r="30" spans="1:40" ht="18" customHeight="1" x14ac:dyDescent="0.3">
      <c r="B30" s="105">
        <v>2</v>
      </c>
      <c r="C30" s="110" t="s">
        <v>426</v>
      </c>
      <c r="D30" s="20"/>
      <c r="E30" s="21" t="s">
        <v>424</v>
      </c>
      <c r="F30" s="21" t="s">
        <v>425</v>
      </c>
      <c r="G30" s="11" t="s">
        <v>0</v>
      </c>
      <c r="H30" s="9"/>
      <c r="I30" s="9"/>
      <c r="J30" s="9" t="s">
        <v>48</v>
      </c>
      <c r="K30" s="9" t="s">
        <v>48</v>
      </c>
      <c r="L30" s="9" t="s">
        <v>48</v>
      </c>
      <c r="M30" s="9" t="s">
        <v>48</v>
      </c>
      <c r="N30" s="9" t="s">
        <v>48</v>
      </c>
      <c r="O30" s="9"/>
      <c r="P30" s="9"/>
      <c r="Q30" s="9"/>
      <c r="R30" s="9"/>
      <c r="S30" s="9" t="s">
        <v>48</v>
      </c>
      <c r="T30" s="9" t="s">
        <v>48</v>
      </c>
      <c r="U30" s="9" t="s">
        <v>48</v>
      </c>
      <c r="V30" s="9" t="s">
        <v>48</v>
      </c>
      <c r="W30" s="9" t="s">
        <v>48</v>
      </c>
      <c r="X30" s="9" t="s">
        <v>48</v>
      </c>
      <c r="Y30" s="9"/>
      <c r="Z30" s="9"/>
      <c r="AA30" s="9"/>
      <c r="AB30" s="9" t="s">
        <v>48</v>
      </c>
      <c r="AC30" s="9" t="s">
        <v>48</v>
      </c>
      <c r="AD30" s="9" t="s">
        <v>48</v>
      </c>
      <c r="AE30" s="9" t="s">
        <v>48</v>
      </c>
      <c r="AF30" s="9"/>
      <c r="AG30" s="9"/>
      <c r="AH30" s="9"/>
      <c r="AI30" s="9"/>
      <c r="AJ30" s="9"/>
      <c r="AK30" s="9"/>
      <c r="AL30" s="12">
        <f t="shared" si="3"/>
        <v>15</v>
      </c>
      <c r="AM30" s="36">
        <v>600</v>
      </c>
      <c r="AN30" s="36">
        <f t="shared" ref="AN30:AN51" si="4">AL30*AM30</f>
        <v>9000</v>
      </c>
    </row>
    <row r="31" spans="1:40" ht="18" customHeight="1" x14ac:dyDescent="0.3">
      <c r="B31" s="105">
        <v>3</v>
      </c>
      <c r="C31" s="173" t="s">
        <v>364</v>
      </c>
      <c r="D31" s="20"/>
      <c r="E31" s="42" t="s">
        <v>362</v>
      </c>
      <c r="F31" s="42" t="s">
        <v>363</v>
      </c>
      <c r="G31" s="10" t="s">
        <v>1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 t="s">
        <v>48</v>
      </c>
      <c r="X31" s="9" t="s">
        <v>48</v>
      </c>
      <c r="Y31" s="9"/>
      <c r="Z31" s="9" t="s">
        <v>48</v>
      </c>
      <c r="AA31" s="9" t="s">
        <v>48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12">
        <f t="shared" si="3"/>
        <v>4</v>
      </c>
      <c r="AM31" s="36">
        <v>570</v>
      </c>
      <c r="AN31" s="36">
        <f t="shared" si="4"/>
        <v>2280</v>
      </c>
    </row>
    <row r="32" spans="1:40" ht="18" customHeight="1" x14ac:dyDescent="0.3">
      <c r="B32" s="105">
        <v>1</v>
      </c>
      <c r="C32" s="10">
        <v>33578</v>
      </c>
      <c r="D32" s="20"/>
      <c r="E32" s="20" t="s">
        <v>190</v>
      </c>
      <c r="F32" s="20" t="s">
        <v>191</v>
      </c>
      <c r="G32" s="10" t="s">
        <v>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 t="s">
        <v>290</v>
      </c>
      <c r="Y32" s="9" t="s">
        <v>290</v>
      </c>
      <c r="Z32" s="9"/>
      <c r="AA32" s="9"/>
      <c r="AB32" s="9" t="s">
        <v>48</v>
      </c>
      <c r="AC32" s="9" t="s">
        <v>48</v>
      </c>
      <c r="AD32" s="9"/>
      <c r="AE32" s="9"/>
      <c r="AF32" s="9"/>
      <c r="AG32" s="9"/>
      <c r="AH32" s="9" t="s">
        <v>48</v>
      </c>
      <c r="AI32" s="9" t="s">
        <v>48</v>
      </c>
      <c r="AJ32" s="9"/>
      <c r="AK32" s="9"/>
      <c r="AL32" s="12">
        <f t="shared" si="3"/>
        <v>6</v>
      </c>
      <c r="AM32" s="36">
        <v>570</v>
      </c>
      <c r="AN32" s="36">
        <f t="shared" si="4"/>
        <v>3420</v>
      </c>
    </row>
    <row r="33" spans="2:40" ht="18" customHeight="1" x14ac:dyDescent="0.3">
      <c r="B33" s="105">
        <v>2</v>
      </c>
      <c r="C33" s="173" t="s">
        <v>380</v>
      </c>
      <c r="D33" s="20"/>
      <c r="E33" s="21" t="s">
        <v>379</v>
      </c>
      <c r="F33" s="21" t="s">
        <v>110</v>
      </c>
      <c r="G33" s="10" t="s">
        <v>1</v>
      </c>
      <c r="H33" s="91"/>
      <c r="I33" s="91"/>
      <c r="J33" s="91"/>
      <c r="K33" s="91"/>
      <c r="L33" s="91"/>
      <c r="M33" s="91"/>
      <c r="N33" s="91" t="s">
        <v>48</v>
      </c>
      <c r="O33" s="91" t="s">
        <v>48</v>
      </c>
      <c r="P33" s="91" t="s">
        <v>48</v>
      </c>
      <c r="Q33" s="91" t="s">
        <v>48</v>
      </c>
      <c r="R33" s="91"/>
      <c r="S33" s="91" t="s">
        <v>48</v>
      </c>
      <c r="T33" s="91" t="s">
        <v>48</v>
      </c>
      <c r="U33" s="91" t="s">
        <v>48</v>
      </c>
      <c r="V33" s="91" t="s">
        <v>48</v>
      </c>
      <c r="W33" s="91"/>
      <c r="X33" s="91" t="s">
        <v>48</v>
      </c>
      <c r="Y33" s="91" t="s">
        <v>48</v>
      </c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12">
        <f t="shared" si="3"/>
        <v>10</v>
      </c>
      <c r="AM33" s="36">
        <v>570</v>
      </c>
      <c r="AN33" s="36">
        <f t="shared" si="4"/>
        <v>5700</v>
      </c>
    </row>
    <row r="34" spans="2:40" ht="18" customHeight="1" x14ac:dyDescent="0.3">
      <c r="B34" s="105">
        <v>3</v>
      </c>
      <c r="C34" s="110" t="s">
        <v>295</v>
      </c>
      <c r="D34" s="20"/>
      <c r="E34" s="21" t="s">
        <v>293</v>
      </c>
      <c r="F34" s="21" t="s">
        <v>294</v>
      </c>
      <c r="G34" s="10" t="s">
        <v>1</v>
      </c>
      <c r="H34" s="91"/>
      <c r="I34" s="91"/>
      <c r="J34" s="91"/>
      <c r="K34" s="91"/>
      <c r="L34" s="91"/>
      <c r="M34" s="91"/>
      <c r="N34" s="91"/>
      <c r="O34" s="91" t="s">
        <v>48</v>
      </c>
      <c r="P34" s="91" t="s">
        <v>48</v>
      </c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12">
        <f t="shared" si="3"/>
        <v>2</v>
      </c>
      <c r="AM34" s="36">
        <v>570</v>
      </c>
      <c r="AN34" s="36">
        <f t="shared" si="4"/>
        <v>1140</v>
      </c>
    </row>
    <row r="35" spans="2:40" ht="18" customHeight="1" x14ac:dyDescent="0.3">
      <c r="B35" s="105">
        <v>4</v>
      </c>
      <c r="C35" s="110" t="s">
        <v>348</v>
      </c>
      <c r="D35" s="20"/>
      <c r="E35" s="21" t="s">
        <v>346</v>
      </c>
      <c r="F35" s="21" t="s">
        <v>347</v>
      </c>
      <c r="G35" s="10" t="s">
        <v>1</v>
      </c>
      <c r="H35" s="9" t="s">
        <v>48</v>
      </c>
      <c r="I35" s="9" t="s">
        <v>48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2">
        <f t="shared" si="3"/>
        <v>2</v>
      </c>
      <c r="AM35" s="36">
        <v>570</v>
      </c>
      <c r="AN35" s="36">
        <f t="shared" si="4"/>
        <v>1140</v>
      </c>
    </row>
    <row r="36" spans="2:40" ht="18" customHeight="1" x14ac:dyDescent="0.3">
      <c r="B36" s="105">
        <v>5</v>
      </c>
      <c r="C36" s="110">
        <v>33244</v>
      </c>
      <c r="D36" s="20"/>
      <c r="E36" s="21" t="s">
        <v>606</v>
      </c>
      <c r="F36" s="21" t="s">
        <v>607</v>
      </c>
      <c r="G36" s="10" t="s">
        <v>1</v>
      </c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 t="s">
        <v>48</v>
      </c>
      <c r="U36" s="92" t="s">
        <v>48</v>
      </c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12">
        <f t="shared" si="3"/>
        <v>2</v>
      </c>
      <c r="AM36" s="36">
        <v>570</v>
      </c>
      <c r="AN36" s="36">
        <f t="shared" si="4"/>
        <v>1140</v>
      </c>
    </row>
    <row r="37" spans="2:40" ht="18" customHeight="1" x14ac:dyDescent="0.3">
      <c r="B37" s="105">
        <v>6</v>
      </c>
      <c r="C37" s="110">
        <v>33249</v>
      </c>
      <c r="D37" s="20"/>
      <c r="E37" s="21" t="s">
        <v>608</v>
      </c>
      <c r="F37" s="21" t="s">
        <v>609</v>
      </c>
      <c r="G37" s="10" t="s">
        <v>1</v>
      </c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 t="s">
        <v>48</v>
      </c>
      <c r="U37" s="92" t="s">
        <v>48</v>
      </c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12">
        <f t="shared" si="3"/>
        <v>2</v>
      </c>
      <c r="AM37" s="36">
        <v>570</v>
      </c>
      <c r="AN37" s="36">
        <f t="shared" si="4"/>
        <v>1140</v>
      </c>
    </row>
    <row r="38" spans="2:40" ht="18" customHeight="1" x14ac:dyDescent="0.3">
      <c r="B38" s="105">
        <v>7</v>
      </c>
      <c r="C38" s="113" t="s">
        <v>769</v>
      </c>
      <c r="D38" s="20"/>
      <c r="E38" s="21" t="s">
        <v>725</v>
      </c>
      <c r="F38" s="21" t="s">
        <v>726</v>
      </c>
      <c r="G38" s="10" t="s">
        <v>1</v>
      </c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 t="s">
        <v>48</v>
      </c>
      <c r="AH38" s="98" t="s">
        <v>48</v>
      </c>
      <c r="AI38" s="98"/>
      <c r="AJ38" s="98"/>
      <c r="AK38" s="98"/>
      <c r="AL38" s="12">
        <f t="shared" si="3"/>
        <v>2</v>
      </c>
      <c r="AM38" s="36">
        <v>570</v>
      </c>
      <c r="AN38" s="36">
        <f t="shared" si="4"/>
        <v>1140</v>
      </c>
    </row>
    <row r="39" spans="2:40" ht="18" customHeight="1" x14ac:dyDescent="0.3">
      <c r="B39" s="105">
        <v>8</v>
      </c>
      <c r="C39" s="117" t="s">
        <v>748</v>
      </c>
      <c r="D39" s="20"/>
      <c r="E39" s="21" t="s">
        <v>91</v>
      </c>
      <c r="F39" s="21" t="s">
        <v>90</v>
      </c>
      <c r="G39" s="10" t="s">
        <v>1</v>
      </c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 t="s">
        <v>48</v>
      </c>
      <c r="AJ39" s="98" t="s">
        <v>48</v>
      </c>
      <c r="AK39" s="98"/>
      <c r="AL39" s="12">
        <f t="shared" si="3"/>
        <v>2</v>
      </c>
      <c r="AM39" s="36">
        <v>570</v>
      </c>
      <c r="AN39" s="36">
        <f t="shared" si="4"/>
        <v>1140</v>
      </c>
    </row>
    <row r="40" spans="2:40" ht="18" customHeight="1" x14ac:dyDescent="0.3">
      <c r="B40" s="105">
        <v>9</v>
      </c>
      <c r="C40" s="10" t="s">
        <v>454</v>
      </c>
      <c r="D40" s="20"/>
      <c r="E40" s="20" t="s">
        <v>596</v>
      </c>
      <c r="F40" s="20" t="s">
        <v>385</v>
      </c>
      <c r="G40" s="10" t="s">
        <v>1</v>
      </c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 t="s">
        <v>48</v>
      </c>
      <c r="W40" s="92" t="s">
        <v>48</v>
      </c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 t="s">
        <v>48</v>
      </c>
      <c r="AK40" s="92" t="s">
        <v>48</v>
      </c>
      <c r="AL40" s="12">
        <f t="shared" si="3"/>
        <v>4</v>
      </c>
      <c r="AM40" s="36">
        <v>570</v>
      </c>
      <c r="AN40" s="36">
        <f t="shared" si="4"/>
        <v>2280</v>
      </c>
    </row>
    <row r="41" spans="2:40" ht="18" customHeight="1" x14ac:dyDescent="0.3">
      <c r="B41" s="105">
        <v>10</v>
      </c>
      <c r="C41" s="10" t="s">
        <v>657</v>
      </c>
      <c r="D41" s="20"/>
      <c r="E41" s="20" t="s">
        <v>655</v>
      </c>
      <c r="F41" s="20" t="s">
        <v>656</v>
      </c>
      <c r="G41" s="10" t="s">
        <v>1</v>
      </c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 t="s">
        <v>48</v>
      </c>
      <c r="AA41" s="92" t="s">
        <v>48</v>
      </c>
      <c r="AB41" s="92"/>
      <c r="AC41" s="92"/>
      <c r="AD41" s="92" t="s">
        <v>48</v>
      </c>
      <c r="AE41" s="92" t="s">
        <v>48</v>
      </c>
      <c r="AF41" s="92"/>
      <c r="AG41" s="92" t="s">
        <v>48</v>
      </c>
      <c r="AH41" s="92" t="s">
        <v>48</v>
      </c>
      <c r="AI41" s="92"/>
      <c r="AJ41" s="92"/>
      <c r="AK41" s="92"/>
      <c r="AL41" s="12">
        <f t="shared" si="3"/>
        <v>6</v>
      </c>
      <c r="AM41" s="36">
        <v>570</v>
      </c>
      <c r="AN41" s="36">
        <f t="shared" si="4"/>
        <v>3420</v>
      </c>
    </row>
    <row r="42" spans="2:40" ht="18" customHeight="1" x14ac:dyDescent="0.3">
      <c r="B42" s="105">
        <v>11</v>
      </c>
      <c r="C42" s="10">
        <v>34586</v>
      </c>
      <c r="D42" s="20"/>
      <c r="E42" s="21" t="s">
        <v>269</v>
      </c>
      <c r="F42" s="21" t="s">
        <v>175</v>
      </c>
      <c r="G42" s="10" t="s">
        <v>1</v>
      </c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 t="s">
        <v>48</v>
      </c>
      <c r="AA42" s="92" t="s">
        <v>48</v>
      </c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12">
        <f t="shared" si="3"/>
        <v>2</v>
      </c>
      <c r="AM42" s="36">
        <v>570</v>
      </c>
      <c r="AN42" s="36">
        <f t="shared" si="4"/>
        <v>1140</v>
      </c>
    </row>
    <row r="43" spans="2:40" ht="18" customHeight="1" x14ac:dyDescent="0.3">
      <c r="B43" s="105">
        <v>12</v>
      </c>
      <c r="C43" s="110" t="s">
        <v>176</v>
      </c>
      <c r="D43" s="20"/>
      <c r="E43" s="21" t="s">
        <v>177</v>
      </c>
      <c r="F43" s="21" t="s">
        <v>178</v>
      </c>
      <c r="G43" s="10" t="s">
        <v>1</v>
      </c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 t="s">
        <v>48</v>
      </c>
      <c r="AC43" s="92" t="s">
        <v>48</v>
      </c>
      <c r="AD43" s="92"/>
      <c r="AE43" s="92"/>
      <c r="AF43" s="92"/>
      <c r="AG43" s="92"/>
      <c r="AH43" s="92"/>
      <c r="AI43" s="92"/>
      <c r="AJ43" s="92"/>
      <c r="AK43" s="92"/>
      <c r="AL43" s="12">
        <f t="shared" si="3"/>
        <v>2</v>
      </c>
      <c r="AM43" s="36">
        <v>570</v>
      </c>
      <c r="AN43" s="36">
        <f t="shared" si="4"/>
        <v>1140</v>
      </c>
    </row>
    <row r="44" spans="2:40" ht="18" customHeight="1" x14ac:dyDescent="0.3">
      <c r="B44" s="105">
        <v>13</v>
      </c>
      <c r="C44" s="10">
        <v>33700</v>
      </c>
      <c r="D44" s="20"/>
      <c r="E44" s="20" t="s">
        <v>402</v>
      </c>
      <c r="F44" s="20" t="s">
        <v>665</v>
      </c>
      <c r="G44" s="10" t="s">
        <v>1</v>
      </c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 t="s">
        <v>48</v>
      </c>
      <c r="AD44" s="92" t="s">
        <v>48</v>
      </c>
      <c r="AE44" s="92"/>
      <c r="AF44" s="92" t="s">
        <v>48</v>
      </c>
      <c r="AG44" s="92" t="s">
        <v>48</v>
      </c>
      <c r="AH44" s="92" t="s">
        <v>48</v>
      </c>
      <c r="AI44" s="92" t="s">
        <v>48</v>
      </c>
      <c r="AJ44" s="92"/>
      <c r="AK44" s="92"/>
      <c r="AL44" s="12">
        <f t="shared" si="3"/>
        <v>6</v>
      </c>
      <c r="AM44" s="36">
        <v>570</v>
      </c>
      <c r="AN44" s="36">
        <f t="shared" si="4"/>
        <v>3420</v>
      </c>
    </row>
    <row r="45" spans="2:40" ht="18" customHeight="1" x14ac:dyDescent="0.3">
      <c r="B45" s="105">
        <v>14</v>
      </c>
      <c r="C45" s="110" t="s">
        <v>349</v>
      </c>
      <c r="D45" s="20"/>
      <c r="E45" s="21" t="s">
        <v>291</v>
      </c>
      <c r="F45" s="21" t="s">
        <v>292</v>
      </c>
      <c r="G45" s="10" t="s">
        <v>1</v>
      </c>
      <c r="H45" s="9"/>
      <c r="I45" s="9"/>
      <c r="J45" s="9" t="s">
        <v>48</v>
      </c>
      <c r="K45" s="9" t="s">
        <v>48</v>
      </c>
      <c r="L45" s="9" t="s">
        <v>48</v>
      </c>
      <c r="M45" s="9" t="s">
        <v>48</v>
      </c>
      <c r="N45" s="9" t="s">
        <v>48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 t="s">
        <v>48</v>
      </c>
      <c r="AE45" s="9" t="s">
        <v>48</v>
      </c>
      <c r="AF45" s="9"/>
      <c r="AG45" s="9"/>
      <c r="AH45" s="9"/>
      <c r="AI45" s="9"/>
      <c r="AJ45" s="9"/>
      <c r="AK45" s="9" t="s">
        <v>48</v>
      </c>
      <c r="AL45" s="12">
        <f t="shared" si="3"/>
        <v>8</v>
      </c>
      <c r="AM45" s="36">
        <v>570</v>
      </c>
      <c r="AN45" s="36">
        <f t="shared" si="4"/>
        <v>4560</v>
      </c>
    </row>
    <row r="46" spans="2:40" ht="18" customHeight="1" x14ac:dyDescent="0.3">
      <c r="B46" s="105">
        <v>15</v>
      </c>
      <c r="C46" s="110" t="s">
        <v>333</v>
      </c>
      <c r="D46" s="20"/>
      <c r="E46" s="21" t="s">
        <v>813</v>
      </c>
      <c r="F46" s="21" t="s">
        <v>814</v>
      </c>
      <c r="G46" s="10" t="s">
        <v>1</v>
      </c>
      <c r="H46" s="9"/>
      <c r="I46" s="9"/>
      <c r="J46" s="9"/>
      <c r="K46" s="9"/>
      <c r="L46" s="9"/>
      <c r="M46" s="9"/>
      <c r="N46" s="9" t="s">
        <v>48</v>
      </c>
      <c r="O46" s="9" t="s">
        <v>48</v>
      </c>
      <c r="P46" s="9" t="s">
        <v>48</v>
      </c>
      <c r="Q46" s="9" t="s">
        <v>48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12">
        <f t="shared" si="3"/>
        <v>4</v>
      </c>
      <c r="AM46" s="36">
        <v>570</v>
      </c>
      <c r="AN46" s="36">
        <f t="shared" si="4"/>
        <v>2280</v>
      </c>
    </row>
    <row r="47" spans="2:40" ht="18" customHeight="1" x14ac:dyDescent="0.3">
      <c r="B47" s="105">
        <v>16</v>
      </c>
      <c r="C47" s="110" t="s">
        <v>634</v>
      </c>
      <c r="D47" s="20"/>
      <c r="E47" s="21" t="s">
        <v>363</v>
      </c>
      <c r="F47" s="21" t="s">
        <v>238</v>
      </c>
      <c r="G47" s="10" t="s">
        <v>1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 t="s">
        <v>48</v>
      </c>
      <c r="X47" s="9" t="s">
        <v>48</v>
      </c>
      <c r="Y47" s="9"/>
      <c r="Z47" s="9" t="s">
        <v>48</v>
      </c>
      <c r="AA47" s="9" t="s">
        <v>48</v>
      </c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12">
        <f t="shared" si="3"/>
        <v>4</v>
      </c>
      <c r="AM47" s="36">
        <v>570</v>
      </c>
      <c r="AN47" s="36">
        <f t="shared" si="4"/>
        <v>2280</v>
      </c>
    </row>
    <row r="48" spans="2:40" ht="18" customHeight="1" x14ac:dyDescent="0.3">
      <c r="B48" s="105">
        <v>17</v>
      </c>
      <c r="C48" s="168">
        <v>33661</v>
      </c>
      <c r="D48" s="20"/>
      <c r="E48" s="20" t="s">
        <v>415</v>
      </c>
      <c r="F48" s="20" t="s">
        <v>218</v>
      </c>
      <c r="G48" s="10" t="s">
        <v>1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 t="s">
        <v>48</v>
      </c>
      <c r="Y48" s="9" t="s">
        <v>48</v>
      </c>
      <c r="Z48" s="9"/>
      <c r="AA48" s="9" t="s">
        <v>48</v>
      </c>
      <c r="AB48" s="9" t="s">
        <v>48</v>
      </c>
      <c r="AC48" s="9" t="s">
        <v>48</v>
      </c>
      <c r="AD48" s="9" t="s">
        <v>48</v>
      </c>
      <c r="AE48" s="9"/>
      <c r="AF48" s="9"/>
      <c r="AG48" s="9"/>
      <c r="AH48" s="9"/>
      <c r="AI48" s="9"/>
      <c r="AJ48" s="9"/>
      <c r="AK48" s="9"/>
      <c r="AL48" s="12">
        <f t="shared" si="3"/>
        <v>6</v>
      </c>
      <c r="AM48" s="36">
        <v>570</v>
      </c>
      <c r="AN48" s="36">
        <f t="shared" si="4"/>
        <v>3420</v>
      </c>
    </row>
    <row r="49" spans="2:40" ht="18" customHeight="1" x14ac:dyDescent="0.3">
      <c r="B49" s="105">
        <v>18</v>
      </c>
      <c r="C49" s="168">
        <v>33677</v>
      </c>
      <c r="D49" s="20"/>
      <c r="E49" s="20" t="s">
        <v>416</v>
      </c>
      <c r="F49" s="20" t="s">
        <v>406</v>
      </c>
      <c r="G49" s="10" t="s">
        <v>1</v>
      </c>
      <c r="H49" s="9"/>
      <c r="I49" s="9"/>
      <c r="J49" s="9"/>
      <c r="K49" s="9" t="s">
        <v>48</v>
      </c>
      <c r="L49" s="9" t="s">
        <v>48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 t="s">
        <v>290</v>
      </c>
      <c r="Y49" s="9" t="s">
        <v>290</v>
      </c>
      <c r="Z49" s="9"/>
      <c r="AA49" s="9" t="s">
        <v>48</v>
      </c>
      <c r="AB49" s="9" t="s">
        <v>48</v>
      </c>
      <c r="AC49" s="9" t="s">
        <v>48</v>
      </c>
      <c r="AD49" s="9" t="s">
        <v>48</v>
      </c>
      <c r="AE49" s="9"/>
      <c r="AF49" s="9"/>
      <c r="AG49" s="9"/>
      <c r="AH49" s="9" t="s">
        <v>48</v>
      </c>
      <c r="AI49" s="9" t="s">
        <v>48</v>
      </c>
      <c r="AJ49" s="9"/>
      <c r="AK49" s="9"/>
      <c r="AL49" s="12">
        <f t="shared" si="3"/>
        <v>10</v>
      </c>
      <c r="AM49" s="36">
        <v>570</v>
      </c>
      <c r="AN49" s="36">
        <f t="shared" si="4"/>
        <v>5700</v>
      </c>
    </row>
    <row r="50" spans="2:40" ht="18" customHeight="1" x14ac:dyDescent="0.3">
      <c r="B50" s="105">
        <v>19</v>
      </c>
      <c r="C50" s="110">
        <v>33255</v>
      </c>
      <c r="D50" s="20"/>
      <c r="E50" s="21" t="s">
        <v>753</v>
      </c>
      <c r="F50" s="21" t="s">
        <v>754</v>
      </c>
      <c r="G50" s="10" t="s">
        <v>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 t="s">
        <v>48</v>
      </c>
      <c r="AK50" s="9" t="s">
        <v>48</v>
      </c>
      <c r="AL50" s="12">
        <f t="shared" si="3"/>
        <v>2</v>
      </c>
      <c r="AM50" s="36">
        <v>570</v>
      </c>
      <c r="AN50" s="36">
        <f t="shared" si="4"/>
        <v>1140</v>
      </c>
    </row>
    <row r="51" spans="2:40" ht="18" customHeight="1" x14ac:dyDescent="0.3">
      <c r="B51" s="105">
        <v>20</v>
      </c>
      <c r="C51" s="110" t="s">
        <v>334</v>
      </c>
      <c r="D51" s="20"/>
      <c r="E51" s="21" t="s">
        <v>188</v>
      </c>
      <c r="F51" s="21" t="s">
        <v>189</v>
      </c>
      <c r="G51" s="10" t="s">
        <v>1</v>
      </c>
      <c r="H51" s="9" t="s">
        <v>48</v>
      </c>
      <c r="I51" s="9" t="s">
        <v>48</v>
      </c>
      <c r="J51" s="9"/>
      <c r="K51" s="9"/>
      <c r="L51" s="9"/>
      <c r="M51" s="9"/>
      <c r="N51" s="9"/>
      <c r="O51" s="9" t="s">
        <v>48</v>
      </c>
      <c r="P51" s="9" t="s">
        <v>48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12">
        <f t="shared" si="3"/>
        <v>4</v>
      </c>
      <c r="AM51" s="36">
        <v>570</v>
      </c>
      <c r="AN51" s="36">
        <f t="shared" si="4"/>
        <v>2280</v>
      </c>
    </row>
    <row r="52" spans="2:40" ht="18" customHeight="1" x14ac:dyDescent="0.3">
      <c r="B52" s="128" t="s">
        <v>15</v>
      </c>
      <c r="C52" s="128"/>
      <c r="D52" s="128"/>
      <c r="E52" s="128"/>
      <c r="F52" s="128"/>
      <c r="G52" s="128"/>
      <c r="H52" s="12">
        <f>COUNTIF(H29:H51,"P")+COUNTIF(H29:H51,"PP")+COUNTIF(H29:H51,"PP")</f>
        <v>3</v>
      </c>
      <c r="I52" s="12">
        <f t="shared" ref="I52:AK52" si="5">COUNTIF(I29:I51,"P")+COUNTIF(I29:I51,"PP")+COUNTIF(I29:I51,"PP")</f>
        <v>2</v>
      </c>
      <c r="J52" s="12">
        <f t="shared" si="5"/>
        <v>2</v>
      </c>
      <c r="K52" s="12">
        <f t="shared" si="5"/>
        <v>3</v>
      </c>
      <c r="L52" s="12">
        <f t="shared" si="5"/>
        <v>3</v>
      </c>
      <c r="M52" s="12">
        <f t="shared" si="5"/>
        <v>2</v>
      </c>
      <c r="N52" s="12">
        <f t="shared" si="5"/>
        <v>4</v>
      </c>
      <c r="O52" s="12">
        <f t="shared" si="5"/>
        <v>4</v>
      </c>
      <c r="P52" s="12">
        <f t="shared" si="5"/>
        <v>4</v>
      </c>
      <c r="Q52" s="12">
        <f t="shared" si="5"/>
        <v>2</v>
      </c>
      <c r="R52" s="12">
        <f t="shared" si="5"/>
        <v>0</v>
      </c>
      <c r="S52" s="12">
        <f t="shared" si="5"/>
        <v>2</v>
      </c>
      <c r="T52" s="12">
        <f t="shared" si="5"/>
        <v>4</v>
      </c>
      <c r="U52" s="12">
        <f t="shared" si="5"/>
        <v>4</v>
      </c>
      <c r="V52" s="12">
        <f t="shared" si="5"/>
        <v>3</v>
      </c>
      <c r="W52" s="12">
        <f t="shared" si="5"/>
        <v>4</v>
      </c>
      <c r="X52" s="12">
        <f t="shared" si="5"/>
        <v>7</v>
      </c>
      <c r="Y52" s="12">
        <f t="shared" si="5"/>
        <v>4</v>
      </c>
      <c r="Z52" s="12">
        <f t="shared" si="5"/>
        <v>4</v>
      </c>
      <c r="AA52" s="12">
        <f t="shared" si="5"/>
        <v>6</v>
      </c>
      <c r="AB52" s="12">
        <f t="shared" si="5"/>
        <v>5</v>
      </c>
      <c r="AC52" s="12">
        <f t="shared" si="5"/>
        <v>6</v>
      </c>
      <c r="AD52" s="12">
        <f t="shared" si="5"/>
        <v>6</v>
      </c>
      <c r="AE52" s="12">
        <f t="shared" si="5"/>
        <v>3</v>
      </c>
      <c r="AF52" s="12">
        <f t="shared" si="5"/>
        <v>1</v>
      </c>
      <c r="AG52" s="12">
        <f t="shared" si="5"/>
        <v>3</v>
      </c>
      <c r="AH52" s="12">
        <f t="shared" si="5"/>
        <v>5</v>
      </c>
      <c r="AI52" s="12">
        <f t="shared" si="5"/>
        <v>4</v>
      </c>
      <c r="AJ52" s="12">
        <f t="shared" si="5"/>
        <v>3</v>
      </c>
      <c r="AK52" s="12">
        <f t="shared" si="5"/>
        <v>3</v>
      </c>
      <c r="AL52" s="28">
        <f>SUM(AL29:AL51)</f>
        <v>106</v>
      </c>
      <c r="AM52" s="36"/>
      <c r="AN52" s="36">
        <f>SUM(AN29:AN51)</f>
        <v>60900</v>
      </c>
    </row>
    <row r="53" spans="2:40" ht="18" customHeight="1" x14ac:dyDescent="0.3">
      <c r="B53" s="59"/>
      <c r="C53" s="59"/>
      <c r="D53" s="59"/>
      <c r="E53" s="59"/>
      <c r="F53" s="59"/>
      <c r="G53" s="59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1"/>
      <c r="AM53" s="58"/>
      <c r="AN53" s="58"/>
    </row>
    <row r="54" spans="2:40" ht="18" customHeight="1" x14ac:dyDescent="0.3">
      <c r="B54" s="128" t="s">
        <v>474</v>
      </c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41">
        <f>AN24+AN52</f>
        <v>122100</v>
      </c>
    </row>
    <row r="67" spans="34:35" x14ac:dyDescent="0.3">
      <c r="AH67" s="93"/>
      <c r="AI67" s="93"/>
    </row>
  </sheetData>
  <mergeCells count="11">
    <mergeCell ref="AM2:AM4"/>
    <mergeCell ref="AN2:AN4"/>
    <mergeCell ref="AM26:AM28"/>
    <mergeCell ref="AN26:AN28"/>
    <mergeCell ref="B54:AM54"/>
    <mergeCell ref="B52:G52"/>
    <mergeCell ref="B2:AL2"/>
    <mergeCell ref="B3:AL3"/>
    <mergeCell ref="B24:G24"/>
    <mergeCell ref="B26:AL26"/>
    <mergeCell ref="B27:AL27"/>
  </mergeCells>
  <conditionalFormatting sqref="C3">
    <cfRule type="duplicateValues" dxfId="309" priority="35"/>
  </conditionalFormatting>
  <conditionalFormatting sqref="C4">
    <cfRule type="duplicateValues" dxfId="308" priority="36"/>
  </conditionalFormatting>
  <conditionalFormatting sqref="C27">
    <cfRule type="duplicateValues" dxfId="307" priority="18"/>
  </conditionalFormatting>
  <conditionalFormatting sqref="C28">
    <cfRule type="duplicateValues" dxfId="306" priority="19"/>
  </conditionalFormatting>
  <conditionalFormatting sqref="C32:C34">
    <cfRule type="duplicateValues" dxfId="305" priority="3"/>
  </conditionalFormatting>
  <conditionalFormatting sqref="C5:F7">
    <cfRule type="duplicateValues" dxfId="304" priority="32"/>
  </conditionalFormatting>
  <conditionalFormatting sqref="C9:F9">
    <cfRule type="duplicateValues" dxfId="303" priority="24"/>
  </conditionalFormatting>
  <conditionalFormatting sqref="C10:F10">
    <cfRule type="duplicateValues" dxfId="302" priority="28"/>
  </conditionalFormatting>
  <conditionalFormatting sqref="C11:F11">
    <cfRule type="duplicateValues" dxfId="301" priority="31"/>
  </conditionalFormatting>
  <conditionalFormatting sqref="C12:F12">
    <cfRule type="duplicateValues" dxfId="300" priority="30"/>
  </conditionalFormatting>
  <conditionalFormatting sqref="C13:F13">
    <cfRule type="duplicateValues" dxfId="299" priority="27"/>
  </conditionalFormatting>
  <conditionalFormatting sqref="C14:F14">
    <cfRule type="duplicateValues" dxfId="298" priority="29"/>
  </conditionalFormatting>
  <conditionalFormatting sqref="C15:F15">
    <cfRule type="duplicateValues" dxfId="297" priority="25"/>
  </conditionalFormatting>
  <conditionalFormatting sqref="C29:F29">
    <cfRule type="duplicateValues" dxfId="296" priority="16"/>
  </conditionalFormatting>
  <conditionalFormatting sqref="C31:F31">
    <cfRule type="duplicateValues" dxfId="295" priority="7"/>
  </conditionalFormatting>
  <conditionalFormatting sqref="C32:F34">
    <cfRule type="duplicateValues" dxfId="294" priority="2"/>
  </conditionalFormatting>
  <conditionalFormatting sqref="C35:F44">
    <cfRule type="duplicateValues" dxfId="293" priority="14"/>
  </conditionalFormatting>
  <conditionalFormatting sqref="C45:F45">
    <cfRule type="duplicateValues" dxfId="292" priority="13"/>
  </conditionalFormatting>
  <conditionalFormatting sqref="C46:F46">
    <cfRule type="duplicateValues" dxfId="291" priority="10"/>
  </conditionalFormatting>
  <conditionalFormatting sqref="C47:F47">
    <cfRule type="duplicateValues" dxfId="290" priority="12"/>
  </conditionalFormatting>
  <conditionalFormatting sqref="C48:F48">
    <cfRule type="duplicateValues" dxfId="289" priority="8"/>
  </conditionalFormatting>
  <conditionalFormatting sqref="C49:F49">
    <cfRule type="duplicateValues" dxfId="288" priority="6"/>
  </conditionalFormatting>
  <conditionalFormatting sqref="C50:D50">
    <cfRule type="duplicateValues" dxfId="287" priority="5"/>
  </conditionalFormatting>
  <conditionalFormatting sqref="C51:F51">
    <cfRule type="duplicateValues" dxfId="286" priority="4"/>
  </conditionalFormatting>
  <conditionalFormatting sqref="E50:F50">
    <cfRule type="duplicateValues" dxfId="285" priority="1"/>
  </conditionalFormatting>
  <conditionalFormatting sqref="H3:AK23 H27:AK51">
    <cfRule type="cellIs" dxfId="284" priority="34" operator="equal">
      <formula>"a"</formula>
    </cfRule>
  </conditionalFormatting>
  <conditionalFormatting sqref="C21:F23">
    <cfRule type="duplicateValues" dxfId="283" priority="1690"/>
  </conditionalFormatting>
  <conditionalFormatting sqref="C16:F20">
    <cfRule type="duplicateValues" dxfId="282" priority="1704"/>
  </conditionalFormatting>
  <conditionalFormatting sqref="C5:C7 C9:C23">
    <cfRule type="duplicateValues" dxfId="281" priority="1708"/>
  </conditionalFormatting>
  <conditionalFormatting sqref="C31 C35:C51">
    <cfRule type="duplicateValues" dxfId="280" priority="171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19"/>
  <sheetViews>
    <sheetView workbookViewId="0">
      <selection activeCell="C16" sqref="C16"/>
    </sheetView>
  </sheetViews>
  <sheetFormatPr defaultRowHeight="14.4" x14ac:dyDescent="0.3"/>
  <cols>
    <col min="1" max="1" width="3.109375" style="1" customWidth="1"/>
    <col min="2" max="2" width="5.33203125" style="1" customWidth="1"/>
    <col min="3" max="3" width="8.77734375" style="1" customWidth="1"/>
    <col min="4" max="4" width="6.88671875" style="1" customWidth="1"/>
    <col min="5" max="5" width="18" style="2" customWidth="1"/>
    <col min="6" max="6" width="18" style="1" customWidth="1"/>
    <col min="7" max="7" width="5.5546875" style="1" customWidth="1"/>
    <col min="8" max="37" width="3.6640625" style="1" customWidth="1"/>
    <col min="38" max="38" width="7.109375" customWidth="1"/>
    <col min="40" max="40" width="10.5546875" customWidth="1"/>
  </cols>
  <sheetData>
    <row r="2" spans="1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29" t="s">
        <v>464</v>
      </c>
      <c r="AN2" s="129" t="s">
        <v>468</v>
      </c>
    </row>
    <row r="3" spans="1:40" ht="18" customHeight="1" x14ac:dyDescent="0.3">
      <c r="B3" s="127" t="s">
        <v>785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9"/>
      <c r="AN3" s="129"/>
    </row>
    <row r="4" spans="1:40" s="54" customFormat="1" ht="18" customHeight="1" x14ac:dyDescent="0.2">
      <c r="A4" s="24"/>
      <c r="B4" s="46" t="s">
        <v>5</v>
      </c>
      <c r="C4" s="46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29"/>
      <c r="AN4" s="129"/>
    </row>
    <row r="5" spans="1:40" s="1" customFormat="1" ht="18" customHeight="1" x14ac:dyDescent="0.3">
      <c r="B5" s="105">
        <v>1</v>
      </c>
      <c r="C5" s="173">
        <v>33514</v>
      </c>
      <c r="D5" s="10">
        <v>3</v>
      </c>
      <c r="E5" s="20" t="s">
        <v>102</v>
      </c>
      <c r="F5" s="20" t="s">
        <v>103</v>
      </c>
      <c r="G5" s="11" t="s">
        <v>0</v>
      </c>
      <c r="H5" s="44" t="s">
        <v>48</v>
      </c>
      <c r="I5" s="45" t="s">
        <v>48</v>
      </c>
      <c r="J5" s="45" t="s">
        <v>48</v>
      </c>
      <c r="K5" s="45" t="s">
        <v>48</v>
      </c>
      <c r="L5" s="45"/>
      <c r="M5" s="45" t="s">
        <v>48</v>
      </c>
      <c r="N5" s="45" t="s">
        <v>48</v>
      </c>
      <c r="O5" s="44"/>
      <c r="P5" s="45"/>
      <c r="Q5" s="45"/>
      <c r="R5" s="45"/>
      <c r="S5" s="45"/>
      <c r="T5" s="45"/>
      <c r="U5" s="45" t="s">
        <v>48</v>
      </c>
      <c r="V5" s="44" t="s">
        <v>48</v>
      </c>
      <c r="W5" s="45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18" t="s">
        <v>412</v>
      </c>
      <c r="AL5" s="12">
        <f>COUNTIF(G5:AK5,"P")+COUNTIF(G5:AK5,"PP")+COUNTIF(G5:AK5,"PP")</f>
        <v>10</v>
      </c>
      <c r="AM5" s="26">
        <v>600</v>
      </c>
      <c r="AN5" s="26">
        <f t="shared" ref="AN5:AN18" si="0">AM5*AL5</f>
        <v>6000</v>
      </c>
    </row>
    <row r="6" spans="1:40" s="23" customFormat="1" ht="18" customHeight="1" x14ac:dyDescent="0.3">
      <c r="A6" s="1"/>
      <c r="B6" s="105">
        <v>2</v>
      </c>
      <c r="C6" s="110" t="s">
        <v>95</v>
      </c>
      <c r="D6" s="10"/>
      <c r="E6" s="21" t="s">
        <v>104</v>
      </c>
      <c r="F6" s="21" t="s">
        <v>105</v>
      </c>
      <c r="G6" s="10" t="s">
        <v>1</v>
      </c>
      <c r="H6" s="9" t="s">
        <v>48</v>
      </c>
      <c r="I6" s="9" t="s">
        <v>48</v>
      </c>
      <c r="J6" s="118" t="s">
        <v>412</v>
      </c>
      <c r="K6" s="9" t="s">
        <v>48</v>
      </c>
      <c r="L6" s="9"/>
      <c r="M6" s="9" t="s">
        <v>48</v>
      </c>
      <c r="N6" s="9" t="s">
        <v>48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 t="s">
        <v>48</v>
      </c>
      <c r="AL6" s="12">
        <f t="shared" ref="AL6:AL18" si="1">COUNTIF(G6:AK6,"P")+COUNTIF(G6:AK6,"PP")+COUNTIF(G6:AK6,"PP")</f>
        <v>8</v>
      </c>
      <c r="AM6" s="36">
        <v>550</v>
      </c>
      <c r="AN6" s="36">
        <f t="shared" si="0"/>
        <v>4400</v>
      </c>
    </row>
    <row r="7" spans="1:40" s="23" customFormat="1" ht="18" customHeight="1" x14ac:dyDescent="0.3">
      <c r="A7" s="1"/>
      <c r="B7" s="105"/>
      <c r="C7" s="110" t="s">
        <v>95</v>
      </c>
      <c r="D7" s="10"/>
      <c r="E7" s="21" t="s">
        <v>104</v>
      </c>
      <c r="F7" s="21" t="s">
        <v>105</v>
      </c>
      <c r="G7" s="11" t="s">
        <v>0</v>
      </c>
      <c r="H7" s="106"/>
      <c r="I7" s="106"/>
      <c r="J7" s="106"/>
      <c r="K7" s="106"/>
      <c r="L7" s="106"/>
      <c r="M7" s="106"/>
      <c r="N7" s="106"/>
      <c r="O7" s="106" t="s">
        <v>48</v>
      </c>
      <c r="P7" s="106" t="s">
        <v>48</v>
      </c>
      <c r="Q7" s="106" t="s">
        <v>48</v>
      </c>
      <c r="R7" s="106" t="s">
        <v>48</v>
      </c>
      <c r="S7" s="106"/>
      <c r="T7" s="106" t="s">
        <v>48</v>
      </c>
      <c r="U7" s="106" t="s">
        <v>48</v>
      </c>
      <c r="V7" s="106" t="s">
        <v>48</v>
      </c>
      <c r="W7" s="106" t="s">
        <v>48</v>
      </c>
      <c r="X7" s="106" t="s">
        <v>48</v>
      </c>
      <c r="Y7" s="106" t="s">
        <v>290</v>
      </c>
      <c r="Z7" s="106"/>
      <c r="AA7" s="106" t="s">
        <v>48</v>
      </c>
      <c r="AB7" s="106" t="s">
        <v>48</v>
      </c>
      <c r="AC7" s="106" t="s">
        <v>48</v>
      </c>
      <c r="AD7" s="106" t="s">
        <v>48</v>
      </c>
      <c r="AE7" s="106" t="s">
        <v>48</v>
      </c>
      <c r="AF7" s="106" t="s">
        <v>48</v>
      </c>
      <c r="AG7" s="106"/>
      <c r="AH7" s="106" t="s">
        <v>48</v>
      </c>
      <c r="AI7" s="106" t="s">
        <v>48</v>
      </c>
      <c r="AJ7" s="106" t="s">
        <v>48</v>
      </c>
      <c r="AK7" s="106"/>
      <c r="AL7" s="12">
        <f t="shared" si="1"/>
        <v>19</v>
      </c>
      <c r="AM7" s="36">
        <v>600</v>
      </c>
      <c r="AN7" s="36">
        <f t="shared" si="0"/>
        <v>11400</v>
      </c>
    </row>
    <row r="8" spans="1:40" s="23" customFormat="1" ht="18" customHeight="1" x14ac:dyDescent="0.3">
      <c r="A8" s="1"/>
      <c r="B8" s="105">
        <v>3</v>
      </c>
      <c r="C8" s="173" t="s">
        <v>96</v>
      </c>
      <c r="D8" s="10">
        <v>5</v>
      </c>
      <c r="E8" s="20" t="s">
        <v>106</v>
      </c>
      <c r="F8" s="20" t="s">
        <v>107</v>
      </c>
      <c r="G8" s="10" t="s">
        <v>1</v>
      </c>
      <c r="H8" s="9" t="s">
        <v>48</v>
      </c>
      <c r="I8" s="9" t="s">
        <v>48</v>
      </c>
      <c r="J8" s="9" t="s">
        <v>48</v>
      </c>
      <c r="K8" s="9" t="s">
        <v>48</v>
      </c>
      <c r="L8" s="9"/>
      <c r="M8" s="9" t="s">
        <v>48</v>
      </c>
      <c r="N8" s="9" t="s">
        <v>48</v>
      </c>
      <c r="O8" s="9" t="s">
        <v>48</v>
      </c>
      <c r="P8" s="9" t="s">
        <v>48</v>
      </c>
      <c r="Q8" s="9" t="s">
        <v>48</v>
      </c>
      <c r="R8" s="9" t="s">
        <v>48</v>
      </c>
      <c r="S8" s="9"/>
      <c r="T8" s="9"/>
      <c r="U8" s="9" t="s">
        <v>48</v>
      </c>
      <c r="V8" s="9" t="s">
        <v>48</v>
      </c>
      <c r="W8" s="9" t="s">
        <v>48</v>
      </c>
      <c r="X8" s="9" t="s">
        <v>48</v>
      </c>
      <c r="Y8" s="9" t="s">
        <v>290</v>
      </c>
      <c r="Z8" s="9"/>
      <c r="AA8" s="9" t="s">
        <v>48</v>
      </c>
      <c r="AB8" s="9" t="s">
        <v>48</v>
      </c>
      <c r="AC8" s="9" t="s">
        <v>48</v>
      </c>
      <c r="AD8" s="9" t="s">
        <v>48</v>
      </c>
      <c r="AE8" s="9" t="s">
        <v>48</v>
      </c>
      <c r="AF8" s="9" t="s">
        <v>48</v>
      </c>
      <c r="AG8" s="9"/>
      <c r="AH8" s="9" t="s">
        <v>48</v>
      </c>
      <c r="AI8" s="9"/>
      <c r="AJ8" s="9"/>
      <c r="AK8" s="9" t="s">
        <v>48</v>
      </c>
      <c r="AL8" s="12">
        <f t="shared" si="1"/>
        <v>23</v>
      </c>
      <c r="AM8" s="36">
        <v>550</v>
      </c>
      <c r="AN8" s="36">
        <f t="shared" si="0"/>
        <v>12650</v>
      </c>
    </row>
    <row r="9" spans="1:40" s="23" customFormat="1" ht="18" customHeight="1" x14ac:dyDescent="0.3">
      <c r="A9" s="1"/>
      <c r="B9" s="105">
        <v>4</v>
      </c>
      <c r="C9" s="173">
        <v>33500</v>
      </c>
      <c r="D9" s="10">
        <v>16</v>
      </c>
      <c r="E9" s="20" t="s">
        <v>108</v>
      </c>
      <c r="F9" s="20" t="s">
        <v>109</v>
      </c>
      <c r="G9" s="10" t="s">
        <v>1</v>
      </c>
      <c r="H9" s="9" t="s">
        <v>48</v>
      </c>
      <c r="I9" s="9" t="s">
        <v>48</v>
      </c>
      <c r="J9" s="9" t="s">
        <v>48</v>
      </c>
      <c r="K9" s="9" t="s">
        <v>48</v>
      </c>
      <c r="L9" s="9"/>
      <c r="M9" s="9" t="s">
        <v>48</v>
      </c>
      <c r="N9" s="9" t="s">
        <v>48</v>
      </c>
      <c r="O9" s="9" t="s">
        <v>48</v>
      </c>
      <c r="P9" s="9" t="s">
        <v>48</v>
      </c>
      <c r="Q9" s="118" t="s">
        <v>412</v>
      </c>
      <c r="R9" s="9" t="s">
        <v>48</v>
      </c>
      <c r="S9" s="9"/>
      <c r="T9" s="9" t="s">
        <v>48</v>
      </c>
      <c r="U9" s="9" t="s">
        <v>48</v>
      </c>
      <c r="V9" s="9" t="s">
        <v>48</v>
      </c>
      <c r="W9" s="9" t="s">
        <v>48</v>
      </c>
      <c r="X9" s="9" t="s">
        <v>48</v>
      </c>
      <c r="Y9" s="9"/>
      <c r="Z9" s="9"/>
      <c r="AA9" s="9" t="s">
        <v>48</v>
      </c>
      <c r="AB9" s="9" t="s">
        <v>48</v>
      </c>
      <c r="AC9" s="9" t="s">
        <v>48</v>
      </c>
      <c r="AD9" s="118" t="s">
        <v>412</v>
      </c>
      <c r="AE9" s="9" t="s">
        <v>48</v>
      </c>
      <c r="AF9" s="9" t="s">
        <v>48</v>
      </c>
      <c r="AG9" s="9"/>
      <c r="AH9" s="9" t="s">
        <v>48</v>
      </c>
      <c r="AI9" s="9" t="s">
        <v>48</v>
      </c>
      <c r="AJ9" s="118" t="s">
        <v>412</v>
      </c>
      <c r="AK9" s="9" t="s">
        <v>48</v>
      </c>
      <c r="AL9" s="12">
        <f t="shared" si="1"/>
        <v>28</v>
      </c>
      <c r="AM9" s="36">
        <v>550</v>
      </c>
      <c r="AN9" s="36">
        <f t="shared" si="0"/>
        <v>15400</v>
      </c>
    </row>
    <row r="10" spans="1:40" s="23" customFormat="1" ht="18" customHeight="1" x14ac:dyDescent="0.3">
      <c r="A10" s="1"/>
      <c r="B10" s="105">
        <v>5</v>
      </c>
      <c r="C10" s="173" t="s">
        <v>97</v>
      </c>
      <c r="D10" s="10">
        <v>11</v>
      </c>
      <c r="E10" s="20" t="s">
        <v>110</v>
      </c>
      <c r="F10" s="20" t="s">
        <v>111</v>
      </c>
      <c r="G10" s="10" t="s">
        <v>1</v>
      </c>
      <c r="H10" s="9" t="s">
        <v>48</v>
      </c>
      <c r="I10" s="9" t="s">
        <v>48</v>
      </c>
      <c r="J10" s="9" t="s">
        <v>48</v>
      </c>
      <c r="K10" s="9" t="s">
        <v>48</v>
      </c>
      <c r="L10" s="9"/>
      <c r="M10" s="9"/>
      <c r="N10" s="9" t="s">
        <v>48</v>
      </c>
      <c r="O10" s="9" t="s">
        <v>48</v>
      </c>
      <c r="P10" s="9" t="s">
        <v>48</v>
      </c>
      <c r="Q10" s="9" t="s">
        <v>48</v>
      </c>
      <c r="R10" s="9" t="s">
        <v>48</v>
      </c>
      <c r="S10" s="9"/>
      <c r="T10" s="9" t="s">
        <v>48</v>
      </c>
      <c r="U10" s="9" t="s">
        <v>48</v>
      </c>
      <c r="V10" s="9" t="s">
        <v>48</v>
      </c>
      <c r="W10" s="9" t="s">
        <v>48</v>
      </c>
      <c r="X10" s="9" t="s">
        <v>48</v>
      </c>
      <c r="Y10" s="9" t="s">
        <v>290</v>
      </c>
      <c r="Z10" s="9"/>
      <c r="AA10" s="118" t="s">
        <v>412</v>
      </c>
      <c r="AB10" s="9" t="s">
        <v>48</v>
      </c>
      <c r="AC10" s="9" t="s">
        <v>48</v>
      </c>
      <c r="AD10" s="9" t="s">
        <v>48</v>
      </c>
      <c r="AE10" s="9" t="s">
        <v>48</v>
      </c>
      <c r="AF10" s="9" t="s">
        <v>48</v>
      </c>
      <c r="AG10" s="9"/>
      <c r="AH10" s="9" t="s">
        <v>48</v>
      </c>
      <c r="AI10" s="9" t="s">
        <v>48</v>
      </c>
      <c r="AJ10" s="9" t="s">
        <v>48</v>
      </c>
      <c r="AK10" s="9" t="s">
        <v>48</v>
      </c>
      <c r="AL10" s="12">
        <f t="shared" si="1"/>
        <v>26</v>
      </c>
      <c r="AM10" s="36">
        <v>550</v>
      </c>
      <c r="AN10" s="36">
        <f t="shared" si="0"/>
        <v>14300</v>
      </c>
    </row>
    <row r="11" spans="1:40" s="23" customFormat="1" ht="18" customHeight="1" x14ac:dyDescent="0.3">
      <c r="A11" s="1"/>
      <c r="B11" s="105">
        <v>6</v>
      </c>
      <c r="C11" s="173" t="s">
        <v>98</v>
      </c>
      <c r="D11" s="10">
        <v>4</v>
      </c>
      <c r="E11" s="21" t="s">
        <v>112</v>
      </c>
      <c r="F11" s="21" t="s">
        <v>113</v>
      </c>
      <c r="G11" s="10" t="s">
        <v>1</v>
      </c>
      <c r="H11" s="9" t="s">
        <v>48</v>
      </c>
      <c r="I11" s="9" t="s">
        <v>48</v>
      </c>
      <c r="J11" s="9" t="s">
        <v>48</v>
      </c>
      <c r="K11" s="9" t="s">
        <v>48</v>
      </c>
      <c r="L11" s="9"/>
      <c r="M11" s="9" t="s">
        <v>48</v>
      </c>
      <c r="N11" s="118" t="s">
        <v>412</v>
      </c>
      <c r="O11" s="9" t="s">
        <v>48</v>
      </c>
      <c r="P11" s="9" t="s">
        <v>48</v>
      </c>
      <c r="Q11" s="9" t="s">
        <v>48</v>
      </c>
      <c r="R11" s="9" t="s">
        <v>48</v>
      </c>
      <c r="S11" s="9"/>
      <c r="T11" s="9" t="s">
        <v>48</v>
      </c>
      <c r="U11" s="9" t="s">
        <v>48</v>
      </c>
      <c r="V11" s="118" t="s">
        <v>412</v>
      </c>
      <c r="W11" s="9" t="s">
        <v>48</v>
      </c>
      <c r="X11" s="9" t="s">
        <v>48</v>
      </c>
      <c r="Y11" s="9" t="s">
        <v>290</v>
      </c>
      <c r="Z11" s="9"/>
      <c r="AA11" s="9" t="s">
        <v>48</v>
      </c>
      <c r="AB11" s="9" t="s">
        <v>48</v>
      </c>
      <c r="AC11" s="9" t="s">
        <v>48</v>
      </c>
      <c r="AD11" s="9" t="s">
        <v>48</v>
      </c>
      <c r="AE11" s="9" t="s">
        <v>48</v>
      </c>
      <c r="AF11" s="9" t="s">
        <v>48</v>
      </c>
      <c r="AG11" s="9"/>
      <c r="AH11" s="9" t="s">
        <v>48</v>
      </c>
      <c r="AI11" s="9" t="s">
        <v>48</v>
      </c>
      <c r="AJ11" s="9" t="s">
        <v>48</v>
      </c>
      <c r="AK11" s="9" t="s">
        <v>48</v>
      </c>
      <c r="AL11" s="12">
        <f t="shared" si="1"/>
        <v>28</v>
      </c>
      <c r="AM11" s="36">
        <v>550</v>
      </c>
      <c r="AN11" s="36">
        <f t="shared" si="0"/>
        <v>15400</v>
      </c>
    </row>
    <row r="12" spans="1:40" s="23" customFormat="1" ht="18" customHeight="1" x14ac:dyDescent="0.3">
      <c r="A12" s="1"/>
      <c r="B12" s="105">
        <v>7</v>
      </c>
      <c r="C12" s="173" t="s">
        <v>99</v>
      </c>
      <c r="D12" s="10">
        <v>55</v>
      </c>
      <c r="E12" s="20" t="s">
        <v>114</v>
      </c>
      <c r="F12" s="20" t="s">
        <v>115</v>
      </c>
      <c r="G12" s="10" t="s">
        <v>1</v>
      </c>
      <c r="H12" s="9" t="s">
        <v>48</v>
      </c>
      <c r="I12" s="118" t="s">
        <v>412</v>
      </c>
      <c r="J12" s="9" t="s">
        <v>48</v>
      </c>
      <c r="K12" s="9" t="s">
        <v>48</v>
      </c>
      <c r="L12" s="9"/>
      <c r="M12" s="9" t="s">
        <v>48</v>
      </c>
      <c r="N12" s="9" t="s">
        <v>48</v>
      </c>
      <c r="O12" s="9" t="s">
        <v>48</v>
      </c>
      <c r="P12" s="118" t="s">
        <v>412</v>
      </c>
      <c r="Q12" s="9" t="s">
        <v>48</v>
      </c>
      <c r="R12" s="9" t="s">
        <v>48</v>
      </c>
      <c r="S12" s="9"/>
      <c r="T12" s="9" t="s">
        <v>48</v>
      </c>
      <c r="U12" s="9" t="s">
        <v>48</v>
      </c>
      <c r="V12" s="9" t="s">
        <v>48</v>
      </c>
      <c r="W12" s="9" t="s">
        <v>48</v>
      </c>
      <c r="X12" s="9" t="s">
        <v>48</v>
      </c>
      <c r="Y12" s="9" t="s">
        <v>290</v>
      </c>
      <c r="Z12" s="9"/>
      <c r="AA12" s="9" t="s">
        <v>48</v>
      </c>
      <c r="AB12" s="9" t="s">
        <v>48</v>
      </c>
      <c r="AC12" s="9" t="s">
        <v>48</v>
      </c>
      <c r="AD12" s="9" t="s">
        <v>48</v>
      </c>
      <c r="AE12" s="9" t="s">
        <v>48</v>
      </c>
      <c r="AF12" s="9" t="s">
        <v>48</v>
      </c>
      <c r="AG12" s="9"/>
      <c r="AH12" s="9" t="s">
        <v>48</v>
      </c>
      <c r="AI12" s="9" t="s">
        <v>48</v>
      </c>
      <c r="AJ12" s="9" t="s">
        <v>48</v>
      </c>
      <c r="AK12" s="9" t="s">
        <v>48</v>
      </c>
      <c r="AL12" s="12">
        <f t="shared" si="1"/>
        <v>28</v>
      </c>
      <c r="AM12" s="36">
        <v>550</v>
      </c>
      <c r="AN12" s="36">
        <f t="shared" si="0"/>
        <v>15400</v>
      </c>
    </row>
    <row r="13" spans="1:40" s="23" customFormat="1" ht="18" customHeight="1" x14ac:dyDescent="0.3">
      <c r="A13" s="1"/>
      <c r="B13" s="105">
        <v>8</v>
      </c>
      <c r="C13" s="10" t="s">
        <v>100</v>
      </c>
      <c r="D13" s="10">
        <v>25</v>
      </c>
      <c r="E13" s="20" t="s">
        <v>116</v>
      </c>
      <c r="F13" s="20" t="s">
        <v>117</v>
      </c>
      <c r="G13" s="10" t="s">
        <v>1</v>
      </c>
      <c r="H13" s="9" t="s">
        <v>48</v>
      </c>
      <c r="I13" s="9" t="s">
        <v>48</v>
      </c>
      <c r="J13" s="9" t="s">
        <v>48</v>
      </c>
      <c r="K13" s="9" t="s">
        <v>48</v>
      </c>
      <c r="L13" s="9"/>
      <c r="M13" s="9" t="s">
        <v>48</v>
      </c>
      <c r="N13" s="9" t="s">
        <v>48</v>
      </c>
      <c r="O13" s="9"/>
      <c r="P13" s="9" t="s">
        <v>48</v>
      </c>
      <c r="Q13" s="9" t="s">
        <v>48</v>
      </c>
      <c r="R13" s="9" t="s">
        <v>48</v>
      </c>
      <c r="S13" s="9"/>
      <c r="T13" s="9" t="s">
        <v>48</v>
      </c>
      <c r="U13" s="9" t="s">
        <v>48</v>
      </c>
      <c r="V13" s="9" t="s">
        <v>48</v>
      </c>
      <c r="W13" s="118" t="s">
        <v>412</v>
      </c>
      <c r="X13" s="9" t="s">
        <v>48</v>
      </c>
      <c r="Y13" s="9" t="s">
        <v>290</v>
      </c>
      <c r="Z13" s="9"/>
      <c r="AA13" s="9" t="s">
        <v>48</v>
      </c>
      <c r="AB13" s="9" t="s">
        <v>48</v>
      </c>
      <c r="AC13" s="9" t="s">
        <v>48</v>
      </c>
      <c r="AD13" s="9" t="s">
        <v>48</v>
      </c>
      <c r="AE13" s="9" t="s">
        <v>48</v>
      </c>
      <c r="AF13" s="9" t="s">
        <v>48</v>
      </c>
      <c r="AG13" s="9"/>
      <c r="AH13" s="9" t="s">
        <v>48</v>
      </c>
      <c r="AI13" s="9" t="s">
        <v>48</v>
      </c>
      <c r="AJ13" s="9" t="s">
        <v>48</v>
      </c>
      <c r="AK13" s="9" t="s">
        <v>48</v>
      </c>
      <c r="AL13" s="12">
        <f t="shared" si="1"/>
        <v>26</v>
      </c>
      <c r="AM13" s="36">
        <v>550</v>
      </c>
      <c r="AN13" s="36">
        <f t="shared" si="0"/>
        <v>14300</v>
      </c>
    </row>
    <row r="14" spans="1:40" s="23" customFormat="1" ht="18" customHeight="1" x14ac:dyDescent="0.3">
      <c r="A14" s="1"/>
      <c r="B14" s="105">
        <v>9</v>
      </c>
      <c r="C14" s="173" t="s">
        <v>101</v>
      </c>
      <c r="D14" s="10">
        <v>12</v>
      </c>
      <c r="E14" s="20" t="s">
        <v>118</v>
      </c>
      <c r="F14" s="20" t="s">
        <v>119</v>
      </c>
      <c r="G14" s="10" t="s">
        <v>1</v>
      </c>
      <c r="H14" s="9" t="s">
        <v>48</v>
      </c>
      <c r="I14" s="9" t="s">
        <v>48</v>
      </c>
      <c r="J14" s="9" t="s">
        <v>48</v>
      </c>
      <c r="K14" s="9" t="s">
        <v>48</v>
      </c>
      <c r="L14" s="9"/>
      <c r="M14" s="9"/>
      <c r="N14" s="9" t="s">
        <v>48</v>
      </c>
      <c r="O14" s="9" t="s">
        <v>48</v>
      </c>
      <c r="P14" s="9" t="s">
        <v>48</v>
      </c>
      <c r="Q14" s="9" t="s">
        <v>48</v>
      </c>
      <c r="R14" s="9" t="s">
        <v>48</v>
      </c>
      <c r="S14" s="9"/>
      <c r="T14" s="9" t="s">
        <v>48</v>
      </c>
      <c r="U14" s="9" t="s">
        <v>48</v>
      </c>
      <c r="V14" s="9" t="s">
        <v>48</v>
      </c>
      <c r="W14" s="9" t="s">
        <v>48</v>
      </c>
      <c r="X14" s="9" t="s">
        <v>48</v>
      </c>
      <c r="Y14" s="9" t="s">
        <v>290</v>
      </c>
      <c r="Z14" s="9"/>
      <c r="AA14" s="9" t="s">
        <v>48</v>
      </c>
      <c r="AB14" s="118" t="s">
        <v>412</v>
      </c>
      <c r="AC14" s="9" t="s">
        <v>48</v>
      </c>
      <c r="AD14" s="9" t="s">
        <v>48</v>
      </c>
      <c r="AE14" s="9" t="s">
        <v>48</v>
      </c>
      <c r="AF14" s="9" t="s">
        <v>48</v>
      </c>
      <c r="AG14" s="9"/>
      <c r="AH14" s="9" t="s">
        <v>48</v>
      </c>
      <c r="AI14" s="9" t="s">
        <v>48</v>
      </c>
      <c r="AJ14" s="9" t="s">
        <v>48</v>
      </c>
      <c r="AK14" s="9" t="s">
        <v>48</v>
      </c>
      <c r="AL14" s="12">
        <f t="shared" si="1"/>
        <v>26</v>
      </c>
      <c r="AM14" s="36">
        <v>550</v>
      </c>
      <c r="AN14" s="36">
        <f t="shared" si="0"/>
        <v>14300</v>
      </c>
    </row>
    <row r="15" spans="1:40" s="23" customFormat="1" ht="18" customHeight="1" x14ac:dyDescent="0.3">
      <c r="A15" s="1"/>
      <c r="B15" s="105">
        <v>10</v>
      </c>
      <c r="C15" s="10">
        <v>34008</v>
      </c>
      <c r="D15" s="10"/>
      <c r="E15" s="20" t="s">
        <v>168</v>
      </c>
      <c r="F15" s="20" t="s">
        <v>169</v>
      </c>
      <c r="G15" s="11" t="s">
        <v>0</v>
      </c>
      <c r="H15" s="9"/>
      <c r="I15" s="9"/>
      <c r="J15" s="9"/>
      <c r="K15" s="9"/>
      <c r="L15" s="9"/>
      <c r="M15" s="9" t="s">
        <v>48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12">
        <f t="shared" si="1"/>
        <v>1</v>
      </c>
      <c r="AM15" s="36">
        <v>600</v>
      </c>
      <c r="AN15" s="36">
        <f t="shared" si="0"/>
        <v>600</v>
      </c>
    </row>
    <row r="16" spans="1:40" s="23" customFormat="1" ht="18" customHeight="1" x14ac:dyDescent="0.3">
      <c r="A16" s="1"/>
      <c r="B16" s="105">
        <v>11</v>
      </c>
      <c r="C16" s="173">
        <v>33662</v>
      </c>
      <c r="D16" s="10"/>
      <c r="E16" s="21" t="s">
        <v>87</v>
      </c>
      <c r="F16" s="21" t="s">
        <v>88</v>
      </c>
      <c r="G16" s="106" t="s">
        <v>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 t="s">
        <v>48</v>
      </c>
      <c r="AJ16" s="9" t="s">
        <v>48</v>
      </c>
      <c r="AK16" s="9"/>
      <c r="AL16" s="12">
        <f t="shared" si="1"/>
        <v>2</v>
      </c>
      <c r="AM16" s="36">
        <v>550</v>
      </c>
      <c r="AN16" s="36">
        <f t="shared" si="0"/>
        <v>1100</v>
      </c>
    </row>
    <row r="17" spans="1:40" s="23" customFormat="1" ht="18" customHeight="1" x14ac:dyDescent="0.3">
      <c r="A17" s="1"/>
      <c r="B17" s="105">
        <v>12</v>
      </c>
      <c r="C17" s="10">
        <v>33816</v>
      </c>
      <c r="D17" s="10"/>
      <c r="E17" s="20" t="s">
        <v>440</v>
      </c>
      <c r="F17" s="20" t="s">
        <v>93</v>
      </c>
      <c r="G17" s="106" t="s">
        <v>1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 t="s">
        <v>290</v>
      </c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2">
        <f t="shared" si="1"/>
        <v>1</v>
      </c>
      <c r="AM17" s="36">
        <v>550</v>
      </c>
      <c r="AN17" s="36">
        <f t="shared" si="0"/>
        <v>550</v>
      </c>
    </row>
    <row r="18" spans="1:40" s="23" customFormat="1" ht="18" customHeight="1" x14ac:dyDescent="0.3">
      <c r="A18" s="1"/>
      <c r="B18" s="105">
        <v>13</v>
      </c>
      <c r="C18" s="113" t="s">
        <v>800</v>
      </c>
      <c r="D18" s="10"/>
      <c r="E18" s="20" t="s">
        <v>557</v>
      </c>
      <c r="F18" s="20" t="s">
        <v>558</v>
      </c>
      <c r="G18" s="106" t="s">
        <v>1</v>
      </c>
      <c r="H18" s="9"/>
      <c r="I18" s="9"/>
      <c r="J18" s="9"/>
      <c r="K18" s="9"/>
      <c r="L18" s="9"/>
      <c r="M18" s="9"/>
      <c r="N18" s="9"/>
      <c r="O18" s="9" t="s">
        <v>48</v>
      </c>
      <c r="P18" s="9" t="s">
        <v>48</v>
      </c>
      <c r="Q18" s="9" t="s">
        <v>48</v>
      </c>
      <c r="R18" s="9" t="s">
        <v>48</v>
      </c>
      <c r="S18" s="9"/>
      <c r="T18" s="9" t="s">
        <v>48</v>
      </c>
      <c r="U18" s="9"/>
      <c r="V18" s="9"/>
      <c r="W18" s="9" t="s">
        <v>48</v>
      </c>
      <c r="X18" s="9" t="s">
        <v>48</v>
      </c>
      <c r="Y18" s="9" t="s">
        <v>290</v>
      </c>
      <c r="Z18" s="9"/>
      <c r="AA18" s="9" t="s">
        <v>48</v>
      </c>
      <c r="AB18" s="9"/>
      <c r="AC18" s="9" t="s">
        <v>48</v>
      </c>
      <c r="AD18" s="9" t="s">
        <v>48</v>
      </c>
      <c r="AE18" s="9" t="s">
        <v>48</v>
      </c>
      <c r="AF18" s="9" t="s">
        <v>48</v>
      </c>
      <c r="AG18" s="9"/>
      <c r="AH18" s="9" t="s">
        <v>48</v>
      </c>
      <c r="AI18" s="9"/>
      <c r="AJ18" s="9" t="s">
        <v>48</v>
      </c>
      <c r="AK18" s="9"/>
      <c r="AL18" s="12">
        <f t="shared" si="1"/>
        <v>15</v>
      </c>
      <c r="AM18" s="36">
        <v>550</v>
      </c>
      <c r="AN18" s="36">
        <f t="shared" si="0"/>
        <v>8250</v>
      </c>
    </row>
    <row r="19" spans="1:40" ht="18" customHeight="1" x14ac:dyDescent="0.3">
      <c r="B19" s="128" t="s">
        <v>15</v>
      </c>
      <c r="C19" s="128"/>
      <c r="D19" s="128"/>
      <c r="E19" s="128"/>
      <c r="F19" s="128"/>
      <c r="G19" s="128"/>
      <c r="H19" s="12">
        <f>COUNTIF(H5:H18,"P")+COUNTIF(H5:H18,"PP")+COUNTIF(H5:H18,"PP")</f>
        <v>9</v>
      </c>
      <c r="I19" s="12">
        <f t="shared" ref="I19:AK19" si="2">COUNTIF(I5:I18,"P")+COUNTIF(I5:I18,"PP")+COUNTIF(I5:I18,"PP")</f>
        <v>10</v>
      </c>
      <c r="J19" s="12">
        <f t="shared" si="2"/>
        <v>10</v>
      </c>
      <c r="K19" s="12">
        <f t="shared" si="2"/>
        <v>9</v>
      </c>
      <c r="L19" s="12">
        <f t="shared" si="2"/>
        <v>0</v>
      </c>
      <c r="M19" s="12">
        <f t="shared" si="2"/>
        <v>8</v>
      </c>
      <c r="N19" s="12">
        <f t="shared" si="2"/>
        <v>10</v>
      </c>
      <c r="O19" s="12">
        <f t="shared" si="2"/>
        <v>8</v>
      </c>
      <c r="P19" s="12">
        <f t="shared" si="2"/>
        <v>10</v>
      </c>
      <c r="Q19" s="12">
        <f t="shared" si="2"/>
        <v>10</v>
      </c>
      <c r="R19" s="12">
        <f t="shared" si="2"/>
        <v>9</v>
      </c>
      <c r="S19" s="12">
        <f t="shared" si="2"/>
        <v>0</v>
      </c>
      <c r="T19" s="12">
        <f t="shared" si="2"/>
        <v>8</v>
      </c>
      <c r="U19" s="12">
        <f t="shared" si="2"/>
        <v>9</v>
      </c>
      <c r="V19" s="12">
        <f t="shared" si="2"/>
        <v>10</v>
      </c>
      <c r="W19" s="12">
        <f t="shared" si="2"/>
        <v>10</v>
      </c>
      <c r="X19" s="12">
        <f t="shared" si="2"/>
        <v>9</v>
      </c>
      <c r="Y19" s="12">
        <f t="shared" si="2"/>
        <v>9</v>
      </c>
      <c r="Z19" s="12">
        <f t="shared" si="2"/>
        <v>0</v>
      </c>
      <c r="AA19" s="12">
        <f t="shared" si="2"/>
        <v>10</v>
      </c>
      <c r="AB19" s="12">
        <f t="shared" si="2"/>
        <v>9</v>
      </c>
      <c r="AC19" s="12">
        <f t="shared" si="2"/>
        <v>9</v>
      </c>
      <c r="AD19" s="12">
        <f t="shared" si="2"/>
        <v>10</v>
      </c>
      <c r="AE19" s="12">
        <f t="shared" si="2"/>
        <v>9</v>
      </c>
      <c r="AF19" s="12">
        <f t="shared" si="2"/>
        <v>9</v>
      </c>
      <c r="AG19" s="12">
        <f t="shared" si="2"/>
        <v>0</v>
      </c>
      <c r="AH19" s="12">
        <f t="shared" si="2"/>
        <v>9</v>
      </c>
      <c r="AI19" s="12">
        <f t="shared" si="2"/>
        <v>8</v>
      </c>
      <c r="AJ19" s="12">
        <f t="shared" si="2"/>
        <v>10</v>
      </c>
      <c r="AK19" s="12">
        <f t="shared" si="2"/>
        <v>10</v>
      </c>
      <c r="AL19" s="28">
        <f>SUM(AL5:AL18)</f>
        <v>241</v>
      </c>
      <c r="AN19" s="37">
        <f>SUM(AN5:AN18)</f>
        <v>134050</v>
      </c>
    </row>
  </sheetData>
  <mergeCells count="5">
    <mergeCell ref="B2:AL2"/>
    <mergeCell ref="B3:AL3"/>
    <mergeCell ref="B19:G19"/>
    <mergeCell ref="AM2:AM4"/>
    <mergeCell ref="AN2:AN4"/>
  </mergeCells>
  <conditionalFormatting sqref="C3">
    <cfRule type="duplicateValues" dxfId="279" priority="15"/>
  </conditionalFormatting>
  <conditionalFormatting sqref="C4">
    <cfRule type="duplicateValues" dxfId="278" priority="16"/>
  </conditionalFormatting>
  <conditionalFormatting sqref="C5:F5">
    <cfRule type="duplicateValues" dxfId="277" priority="12"/>
  </conditionalFormatting>
  <conditionalFormatting sqref="C8:F8">
    <cfRule type="duplicateValues" dxfId="276" priority="4"/>
  </conditionalFormatting>
  <conditionalFormatting sqref="C9:F9">
    <cfRule type="duplicateValues" dxfId="275" priority="8"/>
  </conditionalFormatting>
  <conditionalFormatting sqref="C10:F10">
    <cfRule type="duplicateValues" dxfId="274" priority="11"/>
  </conditionalFormatting>
  <conditionalFormatting sqref="C11:F11">
    <cfRule type="duplicateValues" dxfId="273" priority="10"/>
  </conditionalFormatting>
  <conditionalFormatting sqref="C12:F12">
    <cfRule type="duplicateValues" dxfId="272" priority="7"/>
  </conditionalFormatting>
  <conditionalFormatting sqref="C13:F13">
    <cfRule type="duplicateValues" dxfId="271" priority="9"/>
  </conditionalFormatting>
  <conditionalFormatting sqref="C14:F14">
    <cfRule type="duplicateValues" dxfId="270" priority="5"/>
  </conditionalFormatting>
  <conditionalFormatting sqref="C15:F15">
    <cfRule type="duplicateValues" dxfId="269" priority="6"/>
  </conditionalFormatting>
  <conditionalFormatting sqref="C16:F16">
    <cfRule type="duplicateValues" dxfId="268" priority="3"/>
  </conditionalFormatting>
  <conditionalFormatting sqref="C17:F18">
    <cfRule type="duplicateValues" dxfId="267" priority="2"/>
  </conditionalFormatting>
  <conditionalFormatting sqref="H3:AK18">
    <cfRule type="cellIs" dxfId="266" priority="14" operator="equal">
      <formula>"a"</formula>
    </cfRule>
  </conditionalFormatting>
  <conditionalFormatting sqref="C5 C8:C18">
    <cfRule type="duplicateValues" dxfId="265" priority="171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57"/>
  <sheetViews>
    <sheetView workbookViewId="0">
      <pane xSplit="6" ySplit="4" topLeftCell="G17" activePane="bottomRight" state="frozen"/>
      <selection pane="topRight" activeCell="G1" sqref="G1"/>
      <selection pane="bottomLeft" activeCell="A5" sqref="A5"/>
      <selection pane="bottomRight" activeCell="C24" sqref="C24"/>
    </sheetView>
  </sheetViews>
  <sheetFormatPr defaultRowHeight="14.4" x14ac:dyDescent="0.3"/>
  <cols>
    <col min="1" max="1" width="2.88671875" style="1" customWidth="1"/>
    <col min="2" max="2" width="5.33203125" style="1" customWidth="1"/>
    <col min="3" max="3" width="9.88671875" style="1" customWidth="1"/>
    <col min="4" max="4" width="7.5546875" style="1" customWidth="1"/>
    <col min="5" max="5" width="20" style="2" customWidth="1"/>
    <col min="6" max="6" width="20" style="1" customWidth="1"/>
    <col min="7" max="7" width="5.5546875" style="1" customWidth="1"/>
    <col min="8" max="37" width="3.6640625" style="1" customWidth="1"/>
    <col min="38" max="38" width="4.77734375" customWidth="1"/>
    <col min="39" max="39" width="7.109375" customWidth="1"/>
    <col min="40" max="40" width="11.6640625" customWidth="1"/>
  </cols>
  <sheetData>
    <row r="2" spans="1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30" t="s">
        <v>464</v>
      </c>
      <c r="AN2" s="129" t="s">
        <v>468</v>
      </c>
    </row>
    <row r="3" spans="1:40" ht="18" customHeight="1" x14ac:dyDescent="0.3">
      <c r="B3" s="127" t="s">
        <v>786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30"/>
      <c r="AN3" s="129"/>
    </row>
    <row r="4" spans="1:40" s="54" customFormat="1" ht="18" customHeight="1" x14ac:dyDescent="0.2">
      <c r="A4" s="24"/>
      <c r="B4" s="46" t="s">
        <v>466</v>
      </c>
      <c r="C4" s="46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30"/>
      <c r="AN4" s="129"/>
    </row>
    <row r="5" spans="1:40" ht="18" customHeight="1" x14ac:dyDescent="0.3">
      <c r="B5" s="105">
        <v>1</v>
      </c>
      <c r="C5" s="7" t="s">
        <v>277</v>
      </c>
      <c r="D5" s="7">
        <v>135</v>
      </c>
      <c r="E5" s="19" t="s">
        <v>278</v>
      </c>
      <c r="F5" s="19" t="s">
        <v>279</v>
      </c>
      <c r="G5" s="11" t="s"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 t="s">
        <v>48</v>
      </c>
      <c r="W5" s="9" t="s">
        <v>48</v>
      </c>
      <c r="X5" s="9" t="s">
        <v>48</v>
      </c>
      <c r="Y5" s="9" t="s">
        <v>48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38">
        <f>COUNTIF(G5:AK5,"P")+COUNTIF(G5:AK5,"PP")+COUNTIF(G5:AK5,"PP")</f>
        <v>4</v>
      </c>
      <c r="AM5" s="36">
        <v>600</v>
      </c>
      <c r="AN5" s="36">
        <f>AL5*AM5</f>
        <v>2400</v>
      </c>
    </row>
    <row r="6" spans="1:40" ht="18" customHeight="1" x14ac:dyDescent="0.3">
      <c r="B6" s="105">
        <v>2</v>
      </c>
      <c r="C6" s="175" t="s">
        <v>138</v>
      </c>
      <c r="D6" s="7"/>
      <c r="E6" s="19" t="s">
        <v>144</v>
      </c>
      <c r="F6" s="19" t="s">
        <v>145</v>
      </c>
      <c r="G6" s="11" t="s">
        <v>0</v>
      </c>
      <c r="H6" s="9"/>
      <c r="I6" s="9"/>
      <c r="J6" s="9"/>
      <c r="K6" s="9"/>
      <c r="L6" s="9"/>
      <c r="M6" s="9" t="s">
        <v>48</v>
      </c>
      <c r="N6" s="9" t="s">
        <v>48</v>
      </c>
      <c r="O6" s="9" t="s">
        <v>48</v>
      </c>
      <c r="P6" s="9" t="s">
        <v>48</v>
      </c>
      <c r="Q6" s="9" t="s">
        <v>48</v>
      </c>
      <c r="R6" s="9" t="s">
        <v>48</v>
      </c>
      <c r="S6" s="9" t="s">
        <v>48</v>
      </c>
      <c r="T6" s="9" t="s">
        <v>48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 t="s">
        <v>48</v>
      </c>
      <c r="AI6" s="9" t="s">
        <v>48</v>
      </c>
      <c r="AJ6" s="9" t="s">
        <v>48</v>
      </c>
      <c r="AK6" s="9" t="s">
        <v>48</v>
      </c>
      <c r="AL6" s="38">
        <f t="shared" ref="AL6:AL26" si="0">COUNTIF(G6:AK6,"P")+COUNTIF(G6:AK6,"PP")+COUNTIF(G6:AK6,"PP")</f>
        <v>12</v>
      </c>
      <c r="AM6" s="36">
        <v>600</v>
      </c>
      <c r="AN6" s="36">
        <f t="shared" ref="AN6:AN26" si="1">AL6*AM6</f>
        <v>7200</v>
      </c>
    </row>
    <row r="7" spans="1:40" ht="18" customHeight="1" x14ac:dyDescent="0.3">
      <c r="B7" s="105">
        <v>3</v>
      </c>
      <c r="C7" s="7" t="s">
        <v>666</v>
      </c>
      <c r="D7" s="7"/>
      <c r="E7" s="104" t="s">
        <v>540</v>
      </c>
      <c r="F7" s="104" t="s">
        <v>541</v>
      </c>
      <c r="G7" s="11" t="s">
        <v>0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 t="s">
        <v>48</v>
      </c>
      <c r="AD7" s="95" t="s">
        <v>48</v>
      </c>
      <c r="AE7" s="95" t="s">
        <v>48</v>
      </c>
      <c r="AF7" s="95" t="s">
        <v>48</v>
      </c>
      <c r="AG7" s="95"/>
      <c r="AH7" s="95"/>
      <c r="AI7" s="95"/>
      <c r="AJ7" s="95"/>
      <c r="AK7" s="95"/>
      <c r="AL7" s="38">
        <f t="shared" si="0"/>
        <v>4</v>
      </c>
      <c r="AM7" s="36">
        <v>600</v>
      </c>
      <c r="AN7" s="36">
        <f t="shared" si="1"/>
        <v>2400</v>
      </c>
    </row>
    <row r="8" spans="1:40" ht="18" customHeight="1" x14ac:dyDescent="0.3">
      <c r="B8" s="105">
        <v>4</v>
      </c>
      <c r="C8" s="175" t="s">
        <v>139</v>
      </c>
      <c r="D8" s="7"/>
      <c r="E8" s="19" t="s">
        <v>146</v>
      </c>
      <c r="F8" s="19" t="s">
        <v>147</v>
      </c>
      <c r="G8" s="10" t="s">
        <v>1</v>
      </c>
      <c r="H8" s="9"/>
      <c r="I8" s="9"/>
      <c r="J8" s="9" t="s">
        <v>48</v>
      </c>
      <c r="K8" s="9" t="s">
        <v>48</v>
      </c>
      <c r="L8" s="9" t="s">
        <v>48</v>
      </c>
      <c r="M8" s="9" t="s">
        <v>48</v>
      </c>
      <c r="N8" s="9"/>
      <c r="O8" s="9"/>
      <c r="P8" s="9"/>
      <c r="Q8" s="9"/>
      <c r="R8" s="9"/>
      <c r="S8" s="9"/>
      <c r="T8" s="9"/>
      <c r="U8" s="9"/>
      <c r="V8" s="9" t="s">
        <v>48</v>
      </c>
      <c r="W8" s="9" t="s">
        <v>48</v>
      </c>
      <c r="X8" s="9" t="s">
        <v>48</v>
      </c>
      <c r="Y8" s="9" t="s">
        <v>48</v>
      </c>
      <c r="Z8" s="9"/>
      <c r="AA8" s="9"/>
      <c r="AB8" s="9"/>
      <c r="AC8" s="9"/>
      <c r="AD8" s="9"/>
      <c r="AE8" s="9"/>
      <c r="AF8" s="9"/>
      <c r="AG8" s="9"/>
      <c r="AH8" s="9" t="s">
        <v>48</v>
      </c>
      <c r="AI8" s="9" t="s">
        <v>48</v>
      </c>
      <c r="AJ8" s="9" t="s">
        <v>48</v>
      </c>
      <c r="AK8" s="9" t="s">
        <v>48</v>
      </c>
      <c r="AL8" s="38">
        <f t="shared" si="0"/>
        <v>12</v>
      </c>
      <c r="AM8" s="36">
        <v>550</v>
      </c>
      <c r="AN8" s="36">
        <f t="shared" si="1"/>
        <v>6600</v>
      </c>
    </row>
    <row r="9" spans="1:40" ht="18" customHeight="1" x14ac:dyDescent="0.3">
      <c r="B9" s="105">
        <v>5</v>
      </c>
      <c r="C9" s="174" t="s">
        <v>140</v>
      </c>
      <c r="D9" s="7"/>
      <c r="E9" s="22" t="s">
        <v>144</v>
      </c>
      <c r="F9" s="22" t="s">
        <v>148</v>
      </c>
      <c r="G9" s="10" t="s"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 t="s">
        <v>48</v>
      </c>
      <c r="AI9" s="9" t="s">
        <v>48</v>
      </c>
      <c r="AJ9" s="9" t="s">
        <v>48</v>
      </c>
      <c r="AK9" s="9" t="s">
        <v>48</v>
      </c>
      <c r="AL9" s="38">
        <f t="shared" si="0"/>
        <v>4</v>
      </c>
      <c r="AM9" s="36">
        <v>550</v>
      </c>
      <c r="AN9" s="36">
        <f t="shared" si="1"/>
        <v>2200</v>
      </c>
    </row>
    <row r="10" spans="1:40" ht="18" customHeight="1" x14ac:dyDescent="0.3">
      <c r="B10" s="105">
        <v>6</v>
      </c>
      <c r="C10" s="175" t="s">
        <v>141</v>
      </c>
      <c r="D10" s="7"/>
      <c r="E10" s="19" t="s">
        <v>149</v>
      </c>
      <c r="F10" s="19" t="s">
        <v>135</v>
      </c>
      <c r="G10" s="10" t="s">
        <v>1</v>
      </c>
      <c r="H10" s="9"/>
      <c r="I10" s="9"/>
      <c r="J10" s="9"/>
      <c r="K10" s="9"/>
      <c r="L10" s="9"/>
      <c r="M10" s="9" t="s">
        <v>48</v>
      </c>
      <c r="N10" s="9" t="s">
        <v>48</v>
      </c>
      <c r="O10" s="9" t="s">
        <v>48</v>
      </c>
      <c r="P10" s="9" t="s">
        <v>48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38">
        <f t="shared" si="0"/>
        <v>4</v>
      </c>
      <c r="AM10" s="36">
        <v>550</v>
      </c>
      <c r="AN10" s="36">
        <f t="shared" si="1"/>
        <v>2200</v>
      </c>
    </row>
    <row r="11" spans="1:40" ht="18" customHeight="1" x14ac:dyDescent="0.3">
      <c r="B11" s="105">
        <v>7</v>
      </c>
      <c r="C11" s="111" t="s">
        <v>142</v>
      </c>
      <c r="D11" s="7"/>
      <c r="E11" s="22" t="s">
        <v>150</v>
      </c>
      <c r="F11" s="22" t="s">
        <v>135</v>
      </c>
      <c r="G11" s="10" t="s">
        <v>1</v>
      </c>
      <c r="H11" s="9"/>
      <c r="I11" s="9"/>
      <c r="J11" s="9"/>
      <c r="K11" s="9"/>
      <c r="L11" s="9"/>
      <c r="M11" s="9" t="s">
        <v>48</v>
      </c>
      <c r="N11" s="9" t="s">
        <v>48</v>
      </c>
      <c r="O11" s="9" t="s">
        <v>48</v>
      </c>
      <c r="P11" s="9" t="s">
        <v>48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38">
        <f t="shared" si="0"/>
        <v>4</v>
      </c>
      <c r="AM11" s="36">
        <v>550</v>
      </c>
      <c r="AN11" s="36">
        <f t="shared" si="1"/>
        <v>2200</v>
      </c>
    </row>
    <row r="12" spans="1:40" ht="18" customHeight="1" x14ac:dyDescent="0.3">
      <c r="B12" s="105">
        <v>8</v>
      </c>
      <c r="C12" s="174" t="s">
        <v>265</v>
      </c>
      <c r="D12" s="7">
        <v>45</v>
      </c>
      <c r="E12" s="22" t="s">
        <v>266</v>
      </c>
      <c r="F12" s="22" t="s">
        <v>267</v>
      </c>
      <c r="G12" s="10" t="s">
        <v>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48</v>
      </c>
      <c r="U12" s="9" t="s">
        <v>48</v>
      </c>
      <c r="V12" s="9" t="s">
        <v>48</v>
      </c>
      <c r="W12" s="9" t="s">
        <v>48</v>
      </c>
      <c r="X12" s="9" t="s">
        <v>48</v>
      </c>
      <c r="Y12" s="9" t="s">
        <v>48</v>
      </c>
      <c r="Z12" s="9" t="s">
        <v>48</v>
      </c>
      <c r="AA12" s="9" t="s">
        <v>48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38">
        <f t="shared" si="0"/>
        <v>8</v>
      </c>
      <c r="AM12" s="36">
        <v>550</v>
      </c>
      <c r="AN12" s="36">
        <f t="shared" si="1"/>
        <v>4400</v>
      </c>
    </row>
    <row r="13" spans="1:40" ht="18" customHeight="1" x14ac:dyDescent="0.3">
      <c r="B13" s="105">
        <v>9</v>
      </c>
      <c r="C13" s="174" t="s">
        <v>268</v>
      </c>
      <c r="D13" s="7"/>
      <c r="E13" s="22" t="s">
        <v>269</v>
      </c>
      <c r="F13" s="22" t="s">
        <v>270</v>
      </c>
      <c r="G13" s="10" t="s">
        <v>1</v>
      </c>
      <c r="H13" s="9"/>
      <c r="I13" s="9"/>
      <c r="J13" s="9"/>
      <c r="K13" s="9"/>
      <c r="L13" s="9"/>
      <c r="M13" s="9" t="s">
        <v>48</v>
      </c>
      <c r="N13" s="9" t="s">
        <v>48</v>
      </c>
      <c r="O13" s="9" t="s">
        <v>48</v>
      </c>
      <c r="P13" s="9" t="s">
        <v>48</v>
      </c>
      <c r="Q13" s="9" t="s">
        <v>48</v>
      </c>
      <c r="R13" s="9" t="s">
        <v>48</v>
      </c>
      <c r="S13" s="9" t="s">
        <v>48</v>
      </c>
      <c r="T13" s="9" t="s">
        <v>48</v>
      </c>
      <c r="U13" s="9"/>
      <c r="V13" s="9" t="s">
        <v>48</v>
      </c>
      <c r="W13" s="9" t="s">
        <v>48</v>
      </c>
      <c r="X13" s="9" t="s">
        <v>48</v>
      </c>
      <c r="Y13" s="9" t="s">
        <v>48</v>
      </c>
      <c r="Z13" s="9"/>
      <c r="AA13" s="9" t="s">
        <v>48</v>
      </c>
      <c r="AB13" s="9" t="s">
        <v>48</v>
      </c>
      <c r="AC13" s="9" t="s">
        <v>48</v>
      </c>
      <c r="AD13" s="10" t="s">
        <v>48</v>
      </c>
      <c r="AE13" s="9"/>
      <c r="AF13" s="9"/>
      <c r="AG13" s="9"/>
      <c r="AH13" s="9"/>
      <c r="AI13" s="9"/>
      <c r="AJ13" s="9"/>
      <c r="AK13" s="9"/>
      <c r="AL13" s="38">
        <f t="shared" si="0"/>
        <v>16</v>
      </c>
      <c r="AM13" s="36">
        <v>550</v>
      </c>
      <c r="AN13" s="36">
        <f t="shared" si="1"/>
        <v>8800</v>
      </c>
    </row>
    <row r="14" spans="1:40" ht="18" customHeight="1" x14ac:dyDescent="0.3">
      <c r="B14" s="105">
        <v>10</v>
      </c>
      <c r="C14" s="7" t="s">
        <v>208</v>
      </c>
      <c r="D14" s="7"/>
      <c r="E14" s="104" t="s">
        <v>76</v>
      </c>
      <c r="F14" s="104" t="s">
        <v>209</v>
      </c>
      <c r="G14" s="10" t="s">
        <v>1</v>
      </c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 t="s">
        <v>48</v>
      </c>
      <c r="U14" s="92" t="s">
        <v>48</v>
      </c>
      <c r="V14" s="92" t="s">
        <v>48</v>
      </c>
      <c r="W14" s="92" t="s">
        <v>48</v>
      </c>
      <c r="X14" s="92" t="s">
        <v>48</v>
      </c>
      <c r="Y14" s="92" t="s">
        <v>48</v>
      </c>
      <c r="Z14" s="92" t="s">
        <v>48</v>
      </c>
      <c r="AA14" s="92" t="s">
        <v>48</v>
      </c>
      <c r="AB14" s="92"/>
      <c r="AC14" s="92"/>
      <c r="AD14" s="10"/>
      <c r="AE14" s="92"/>
      <c r="AF14" s="92"/>
      <c r="AG14" s="92"/>
      <c r="AH14" s="92"/>
      <c r="AI14" s="92"/>
      <c r="AJ14" s="92"/>
      <c r="AK14" s="92"/>
      <c r="AL14" s="38">
        <f t="shared" si="0"/>
        <v>8</v>
      </c>
      <c r="AM14" s="36">
        <v>550</v>
      </c>
      <c r="AN14" s="36">
        <f t="shared" si="1"/>
        <v>4400</v>
      </c>
    </row>
    <row r="15" spans="1:40" ht="18" customHeight="1" x14ac:dyDescent="0.3">
      <c r="B15" s="105">
        <v>11</v>
      </c>
      <c r="C15" s="7" t="s">
        <v>621</v>
      </c>
      <c r="D15" s="7"/>
      <c r="E15" s="104" t="s">
        <v>299</v>
      </c>
      <c r="F15" s="104" t="s">
        <v>620</v>
      </c>
      <c r="G15" s="10" t="s">
        <v>1</v>
      </c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 t="s">
        <v>48</v>
      </c>
      <c r="X15" s="92" t="s">
        <v>48</v>
      </c>
      <c r="Y15" s="92" t="s">
        <v>48</v>
      </c>
      <c r="Z15" s="92" t="s">
        <v>48</v>
      </c>
      <c r="AA15" s="92" t="s">
        <v>48</v>
      </c>
      <c r="AB15" s="92" t="s">
        <v>48</v>
      </c>
      <c r="AC15" s="92" t="s">
        <v>48</v>
      </c>
      <c r="AD15" s="10" t="s">
        <v>48</v>
      </c>
      <c r="AE15" s="92" t="s">
        <v>48</v>
      </c>
      <c r="AF15" s="92" t="s">
        <v>48</v>
      </c>
      <c r="AG15" s="92" t="s">
        <v>48</v>
      </c>
      <c r="AH15" s="92" t="s">
        <v>48</v>
      </c>
      <c r="AI15" s="92"/>
      <c r="AJ15" s="92"/>
      <c r="AK15" s="92"/>
      <c r="AL15" s="38">
        <f t="shared" si="0"/>
        <v>12</v>
      </c>
      <c r="AM15" s="36">
        <v>550</v>
      </c>
      <c r="AN15" s="36">
        <f t="shared" si="1"/>
        <v>6600</v>
      </c>
    </row>
    <row r="16" spans="1:40" ht="18" customHeight="1" x14ac:dyDescent="0.3">
      <c r="B16" s="105">
        <v>12</v>
      </c>
      <c r="C16" s="7" t="s">
        <v>603</v>
      </c>
      <c r="D16" s="7"/>
      <c r="E16" s="104" t="s">
        <v>601</v>
      </c>
      <c r="F16" s="104" t="s">
        <v>602</v>
      </c>
      <c r="G16" s="10" t="s">
        <v>1</v>
      </c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 t="s">
        <v>48</v>
      </c>
      <c r="X16" s="92" t="s">
        <v>48</v>
      </c>
      <c r="Y16" s="92" t="s">
        <v>48</v>
      </c>
      <c r="Z16" s="92" t="s">
        <v>48</v>
      </c>
      <c r="AA16" s="92" t="s">
        <v>48</v>
      </c>
      <c r="AB16" s="92" t="s">
        <v>48</v>
      </c>
      <c r="AC16" s="92" t="s">
        <v>48</v>
      </c>
      <c r="AD16" s="10" t="s">
        <v>48</v>
      </c>
      <c r="AE16" s="92" t="s">
        <v>48</v>
      </c>
      <c r="AF16" s="92" t="s">
        <v>48</v>
      </c>
      <c r="AG16" s="92" t="s">
        <v>48</v>
      </c>
      <c r="AH16" s="92" t="s">
        <v>48</v>
      </c>
      <c r="AI16" s="92"/>
      <c r="AJ16" s="92"/>
      <c r="AK16" s="92"/>
      <c r="AL16" s="38">
        <f t="shared" si="0"/>
        <v>12</v>
      </c>
      <c r="AM16" s="36">
        <v>550</v>
      </c>
      <c r="AN16" s="36">
        <f t="shared" si="1"/>
        <v>6600</v>
      </c>
    </row>
    <row r="17" spans="2:40" ht="18" customHeight="1" x14ac:dyDescent="0.3">
      <c r="B17" s="105">
        <v>13</v>
      </c>
      <c r="C17" s="111">
        <v>33849</v>
      </c>
      <c r="D17" s="7"/>
      <c r="E17" s="22" t="s">
        <v>93</v>
      </c>
      <c r="F17" s="22" t="s">
        <v>94</v>
      </c>
      <c r="G17" s="10" t="s">
        <v>1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 t="s">
        <v>48</v>
      </c>
      <c r="AD17" s="10" t="s">
        <v>48</v>
      </c>
      <c r="AE17" s="92" t="s">
        <v>48</v>
      </c>
      <c r="AF17" s="92" t="s">
        <v>48</v>
      </c>
      <c r="AG17" s="92"/>
      <c r="AH17" s="92"/>
      <c r="AI17" s="92"/>
      <c r="AJ17" s="92"/>
      <c r="AK17" s="92"/>
      <c r="AL17" s="38">
        <f t="shared" si="0"/>
        <v>4</v>
      </c>
      <c r="AM17" s="36">
        <v>550</v>
      </c>
      <c r="AN17" s="36">
        <f t="shared" si="1"/>
        <v>2200</v>
      </c>
    </row>
    <row r="18" spans="2:40" ht="18" customHeight="1" x14ac:dyDescent="0.3">
      <c r="B18" s="105">
        <v>14</v>
      </c>
      <c r="C18" s="7" t="s">
        <v>653</v>
      </c>
      <c r="D18" s="7"/>
      <c r="E18" s="104" t="s">
        <v>651</v>
      </c>
      <c r="F18" s="104" t="s">
        <v>652</v>
      </c>
      <c r="G18" s="10" t="s">
        <v>1</v>
      </c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 t="s">
        <v>48</v>
      </c>
      <c r="AD18" s="10" t="s">
        <v>48</v>
      </c>
      <c r="AE18" s="95" t="s">
        <v>48</v>
      </c>
      <c r="AF18" s="95" t="s">
        <v>48</v>
      </c>
      <c r="AG18" s="95"/>
      <c r="AH18" s="95"/>
      <c r="AI18" s="95"/>
      <c r="AJ18" s="95"/>
      <c r="AK18" s="95"/>
      <c r="AL18" s="38">
        <f t="shared" si="0"/>
        <v>4</v>
      </c>
      <c r="AM18" s="36">
        <v>550</v>
      </c>
      <c r="AN18" s="36">
        <f t="shared" si="1"/>
        <v>2200</v>
      </c>
    </row>
    <row r="19" spans="2:40" ht="18" customHeight="1" x14ac:dyDescent="0.3">
      <c r="B19" s="105">
        <v>15</v>
      </c>
      <c r="C19" s="113" t="s">
        <v>804</v>
      </c>
      <c r="D19" s="7"/>
      <c r="E19" s="22" t="s">
        <v>177</v>
      </c>
      <c r="F19" s="22" t="s">
        <v>359</v>
      </c>
      <c r="G19" s="10" t="s">
        <v>1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 t="s">
        <v>48</v>
      </c>
      <c r="AD19" s="10" t="s">
        <v>48</v>
      </c>
      <c r="AE19" s="95" t="s">
        <v>48</v>
      </c>
      <c r="AF19" s="95" t="s">
        <v>48</v>
      </c>
      <c r="AG19" s="95"/>
      <c r="AH19" s="95"/>
      <c r="AI19" s="95"/>
      <c r="AJ19" s="95"/>
      <c r="AK19" s="95"/>
      <c r="AL19" s="38">
        <f t="shared" si="0"/>
        <v>4</v>
      </c>
      <c r="AM19" s="36">
        <v>550</v>
      </c>
      <c r="AN19" s="36">
        <f t="shared" si="1"/>
        <v>2200</v>
      </c>
    </row>
    <row r="20" spans="2:40" ht="18" customHeight="1" x14ac:dyDescent="0.3">
      <c r="B20" s="105">
        <v>16</v>
      </c>
      <c r="C20" s="111" t="s">
        <v>321</v>
      </c>
      <c r="D20" s="7"/>
      <c r="E20" s="103" t="s">
        <v>319</v>
      </c>
      <c r="F20" s="103" t="s">
        <v>320</v>
      </c>
      <c r="G20" s="10" t="s">
        <v>1</v>
      </c>
      <c r="H20" s="91"/>
      <c r="I20" s="91"/>
      <c r="J20" s="91" t="s">
        <v>48</v>
      </c>
      <c r="K20" s="91" t="s">
        <v>48</v>
      </c>
      <c r="L20" s="91" t="s">
        <v>48</v>
      </c>
      <c r="M20" s="91" t="s">
        <v>48</v>
      </c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10"/>
      <c r="AE20" s="91"/>
      <c r="AF20" s="91"/>
      <c r="AG20" s="91"/>
      <c r="AH20" s="91"/>
      <c r="AI20" s="91"/>
      <c r="AJ20" s="91"/>
      <c r="AK20" s="91"/>
      <c r="AL20" s="38">
        <f t="shared" si="0"/>
        <v>4</v>
      </c>
      <c r="AM20" s="36">
        <v>550</v>
      </c>
      <c r="AN20" s="36">
        <f t="shared" si="1"/>
        <v>2200</v>
      </c>
    </row>
    <row r="21" spans="2:40" ht="18" customHeight="1" x14ac:dyDescent="0.3">
      <c r="B21" s="105">
        <v>17</v>
      </c>
      <c r="C21" s="7" t="s">
        <v>456</v>
      </c>
      <c r="D21" s="7"/>
      <c r="E21" s="104" t="s">
        <v>428</v>
      </c>
      <c r="F21" s="104" t="s">
        <v>218</v>
      </c>
      <c r="G21" s="10" t="s">
        <v>1</v>
      </c>
      <c r="H21" s="91"/>
      <c r="I21" s="91"/>
      <c r="J21" s="91"/>
      <c r="K21" s="91"/>
      <c r="L21" s="91"/>
      <c r="M21" s="91"/>
      <c r="N21" s="91"/>
      <c r="O21" s="91" t="s">
        <v>48</v>
      </c>
      <c r="P21" s="91" t="s">
        <v>48</v>
      </c>
      <c r="Q21" s="91" t="s">
        <v>48</v>
      </c>
      <c r="R21" s="91" t="s">
        <v>48</v>
      </c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10"/>
      <c r="AE21" s="91"/>
      <c r="AF21" s="91"/>
      <c r="AG21" s="91"/>
      <c r="AH21" s="91"/>
      <c r="AI21" s="91"/>
      <c r="AJ21" s="91"/>
      <c r="AK21" s="91"/>
      <c r="AL21" s="38">
        <f t="shared" si="0"/>
        <v>4</v>
      </c>
      <c r="AM21" s="36">
        <v>550</v>
      </c>
      <c r="AN21" s="36">
        <f t="shared" si="1"/>
        <v>2200</v>
      </c>
    </row>
    <row r="22" spans="2:40" ht="18" customHeight="1" x14ac:dyDescent="0.3">
      <c r="B22" s="105">
        <v>18</v>
      </c>
      <c r="C22" s="7" t="s">
        <v>274</v>
      </c>
      <c r="D22" s="7">
        <v>143</v>
      </c>
      <c r="E22" s="22" t="s">
        <v>275</v>
      </c>
      <c r="F22" s="22" t="s">
        <v>276</v>
      </c>
      <c r="G22" s="10" t="s">
        <v>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 t="s">
        <v>48</v>
      </c>
      <c r="U22" s="9" t="s">
        <v>48</v>
      </c>
      <c r="V22" s="9" t="s">
        <v>48</v>
      </c>
      <c r="W22" s="9" t="s">
        <v>48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38">
        <f t="shared" si="0"/>
        <v>4</v>
      </c>
      <c r="AM22" s="36">
        <v>550</v>
      </c>
      <c r="AN22" s="36">
        <f t="shared" si="1"/>
        <v>2200</v>
      </c>
    </row>
    <row r="23" spans="2:40" ht="18" customHeight="1" x14ac:dyDescent="0.3">
      <c r="B23" s="105">
        <v>19</v>
      </c>
      <c r="C23" s="175">
        <v>33509</v>
      </c>
      <c r="D23" s="7"/>
      <c r="E23" s="19" t="s">
        <v>399</v>
      </c>
      <c r="F23" s="19" t="s">
        <v>400</v>
      </c>
      <c r="G23" s="10" t="s">
        <v>1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 t="s">
        <v>48</v>
      </c>
      <c r="AF23" s="9" t="s">
        <v>48</v>
      </c>
      <c r="AG23" s="9" t="s">
        <v>48</v>
      </c>
      <c r="AH23" s="9" t="s">
        <v>48</v>
      </c>
      <c r="AI23" s="9"/>
      <c r="AJ23" s="9"/>
      <c r="AK23" s="9"/>
      <c r="AL23" s="38">
        <f t="shared" si="0"/>
        <v>4</v>
      </c>
      <c r="AM23" s="36">
        <v>550</v>
      </c>
      <c r="AN23" s="36">
        <f t="shared" si="1"/>
        <v>2200</v>
      </c>
    </row>
    <row r="24" spans="2:40" ht="18" customHeight="1" x14ac:dyDescent="0.3">
      <c r="B24" s="105">
        <v>20</v>
      </c>
      <c r="C24" s="175">
        <v>33694</v>
      </c>
      <c r="D24" s="7"/>
      <c r="E24" s="19" t="s">
        <v>231</v>
      </c>
      <c r="F24" s="19" t="s">
        <v>232</v>
      </c>
      <c r="G24" s="10" t="s">
        <v>1</v>
      </c>
      <c r="H24" s="9"/>
      <c r="I24" s="9"/>
      <c r="J24" s="9"/>
      <c r="K24" s="9"/>
      <c r="L24" s="9"/>
      <c r="M24" s="9" t="s">
        <v>48</v>
      </c>
      <c r="N24" s="9" t="s">
        <v>48</v>
      </c>
      <c r="O24" s="9" t="s">
        <v>48</v>
      </c>
      <c r="P24" s="9" t="s">
        <v>48</v>
      </c>
      <c r="Q24" s="9"/>
      <c r="R24" s="9"/>
      <c r="S24" s="9"/>
      <c r="T24" s="9" t="s">
        <v>48</v>
      </c>
      <c r="U24" s="9" t="s">
        <v>48</v>
      </c>
      <c r="V24" s="9" t="s">
        <v>48</v>
      </c>
      <c r="W24" s="9" t="s">
        <v>48</v>
      </c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38">
        <f t="shared" si="0"/>
        <v>8</v>
      </c>
      <c r="AM24" s="36">
        <v>550</v>
      </c>
      <c r="AN24" s="36">
        <f t="shared" si="1"/>
        <v>4400</v>
      </c>
    </row>
    <row r="25" spans="2:40" ht="18" customHeight="1" x14ac:dyDescent="0.3">
      <c r="B25" s="105">
        <v>21</v>
      </c>
      <c r="C25" s="7" t="s">
        <v>289</v>
      </c>
      <c r="D25" s="7"/>
      <c r="E25" s="19" t="s">
        <v>229</v>
      </c>
      <c r="F25" s="19" t="s">
        <v>45</v>
      </c>
      <c r="G25" s="10" t="s">
        <v>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 t="s">
        <v>48</v>
      </c>
      <c r="W25" s="9" t="s">
        <v>48</v>
      </c>
      <c r="X25" s="9" t="s">
        <v>48</v>
      </c>
      <c r="Y25" s="9" t="s">
        <v>48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38">
        <f t="shared" si="0"/>
        <v>4</v>
      </c>
      <c r="AM25" s="36">
        <v>550</v>
      </c>
      <c r="AN25" s="36">
        <f t="shared" si="1"/>
        <v>2200</v>
      </c>
    </row>
    <row r="26" spans="2:40" ht="18" customHeight="1" x14ac:dyDescent="0.3">
      <c r="B26" s="105">
        <v>22</v>
      </c>
      <c r="C26" s="174" t="s">
        <v>198</v>
      </c>
      <c r="D26" s="7"/>
      <c r="E26" s="22" t="s">
        <v>199</v>
      </c>
      <c r="F26" s="22" t="s">
        <v>200</v>
      </c>
      <c r="G26" s="10" t="s">
        <v>1</v>
      </c>
      <c r="H26" s="9" t="s">
        <v>48</v>
      </c>
      <c r="I26" s="9" t="s">
        <v>48</v>
      </c>
      <c r="J26" s="9"/>
      <c r="K26" s="9"/>
      <c r="L26" s="9"/>
      <c r="M26" s="9"/>
      <c r="N26" s="9"/>
      <c r="O26" s="9"/>
      <c r="P26" s="9"/>
      <c r="Q26" s="9" t="s">
        <v>48</v>
      </c>
      <c r="R26" s="9" t="s">
        <v>48</v>
      </c>
      <c r="S26" s="9" t="s">
        <v>48</v>
      </c>
      <c r="T26" s="9" t="s">
        <v>48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38">
        <f t="shared" si="0"/>
        <v>6</v>
      </c>
      <c r="AM26" s="36">
        <v>550</v>
      </c>
      <c r="AN26" s="36">
        <f t="shared" si="1"/>
        <v>3300</v>
      </c>
    </row>
    <row r="27" spans="2:40" ht="18" customHeight="1" x14ac:dyDescent="0.3">
      <c r="B27" s="128" t="s">
        <v>15</v>
      </c>
      <c r="C27" s="128"/>
      <c r="D27" s="128"/>
      <c r="E27" s="128"/>
      <c r="F27" s="128"/>
      <c r="G27" s="128"/>
      <c r="H27" s="12">
        <f t="shared" ref="H27:AK27" si="2">COUNTIF(H5:H26,"P")+COUNTIF(H5:H26,"PP")+COUNTIF(H5:H26,"PP")</f>
        <v>1</v>
      </c>
      <c r="I27" s="12">
        <f t="shared" si="2"/>
        <v>1</v>
      </c>
      <c r="J27" s="12">
        <f t="shared" si="2"/>
        <v>2</v>
      </c>
      <c r="K27" s="12">
        <f t="shared" si="2"/>
        <v>2</v>
      </c>
      <c r="L27" s="12">
        <f t="shared" si="2"/>
        <v>2</v>
      </c>
      <c r="M27" s="12">
        <f t="shared" si="2"/>
        <v>7</v>
      </c>
      <c r="N27" s="12">
        <f t="shared" si="2"/>
        <v>5</v>
      </c>
      <c r="O27" s="12">
        <f t="shared" si="2"/>
        <v>6</v>
      </c>
      <c r="P27" s="12">
        <f t="shared" si="2"/>
        <v>6</v>
      </c>
      <c r="Q27" s="12">
        <f t="shared" si="2"/>
        <v>4</v>
      </c>
      <c r="R27" s="12">
        <f t="shared" si="2"/>
        <v>4</v>
      </c>
      <c r="S27" s="12">
        <f t="shared" si="2"/>
        <v>3</v>
      </c>
      <c r="T27" s="12">
        <f t="shared" si="2"/>
        <v>7</v>
      </c>
      <c r="U27" s="12">
        <f t="shared" si="2"/>
        <v>4</v>
      </c>
      <c r="V27" s="12">
        <f t="shared" si="2"/>
        <v>8</v>
      </c>
      <c r="W27" s="12">
        <f t="shared" si="2"/>
        <v>10</v>
      </c>
      <c r="X27" s="12">
        <f t="shared" si="2"/>
        <v>8</v>
      </c>
      <c r="Y27" s="12">
        <f t="shared" si="2"/>
        <v>8</v>
      </c>
      <c r="Z27" s="12">
        <f t="shared" si="2"/>
        <v>4</v>
      </c>
      <c r="AA27" s="12">
        <f t="shared" si="2"/>
        <v>5</v>
      </c>
      <c r="AB27" s="12">
        <f t="shared" si="2"/>
        <v>3</v>
      </c>
      <c r="AC27" s="12">
        <f t="shared" si="2"/>
        <v>7</v>
      </c>
      <c r="AD27" s="12">
        <f t="shared" si="2"/>
        <v>7</v>
      </c>
      <c r="AE27" s="12">
        <f t="shared" si="2"/>
        <v>7</v>
      </c>
      <c r="AF27" s="12">
        <f t="shared" si="2"/>
        <v>7</v>
      </c>
      <c r="AG27" s="12">
        <f t="shared" si="2"/>
        <v>3</v>
      </c>
      <c r="AH27" s="12">
        <f t="shared" si="2"/>
        <v>6</v>
      </c>
      <c r="AI27" s="12">
        <f t="shared" si="2"/>
        <v>3</v>
      </c>
      <c r="AJ27" s="12">
        <f t="shared" si="2"/>
        <v>3</v>
      </c>
      <c r="AK27" s="12">
        <f t="shared" si="2"/>
        <v>3</v>
      </c>
      <c r="AL27" s="39">
        <f>SUM(AL5:AL26)</f>
        <v>146</v>
      </c>
      <c r="AN27" s="37">
        <f>SUM(AN5:AN26)</f>
        <v>81300</v>
      </c>
    </row>
    <row r="30" spans="2:40" ht="22.8" x14ac:dyDescent="0.3">
      <c r="B30" s="124" t="s">
        <v>14</v>
      </c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6"/>
      <c r="AM30" s="130" t="s">
        <v>464</v>
      </c>
      <c r="AN30" s="129" t="s">
        <v>468</v>
      </c>
    </row>
    <row r="31" spans="2:40" ht="18" customHeight="1" x14ac:dyDescent="0.3">
      <c r="B31" s="135" t="s">
        <v>787</v>
      </c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0"/>
      <c r="AN31" s="129"/>
    </row>
    <row r="32" spans="2:40" ht="18" customHeight="1" x14ac:dyDescent="0.3">
      <c r="B32" s="29" t="s">
        <v>466</v>
      </c>
      <c r="C32" s="49" t="s">
        <v>2</v>
      </c>
      <c r="D32" s="29" t="s">
        <v>16</v>
      </c>
      <c r="E32" s="30" t="s">
        <v>3</v>
      </c>
      <c r="F32" s="30" t="s">
        <v>4</v>
      </c>
      <c r="G32" s="29" t="s">
        <v>7</v>
      </c>
      <c r="H32" s="29">
        <v>1</v>
      </c>
      <c r="I32" s="29">
        <v>2</v>
      </c>
      <c r="J32" s="29">
        <v>3</v>
      </c>
      <c r="K32" s="29">
        <v>4</v>
      </c>
      <c r="L32" s="29">
        <v>5</v>
      </c>
      <c r="M32" s="29">
        <v>6</v>
      </c>
      <c r="N32" s="29">
        <v>7</v>
      </c>
      <c r="O32" s="29">
        <v>8</v>
      </c>
      <c r="P32" s="29">
        <v>9</v>
      </c>
      <c r="Q32" s="29">
        <v>10</v>
      </c>
      <c r="R32" s="29">
        <v>11</v>
      </c>
      <c r="S32" s="29">
        <v>12</v>
      </c>
      <c r="T32" s="29">
        <v>13</v>
      </c>
      <c r="U32" s="29">
        <v>14</v>
      </c>
      <c r="V32" s="29">
        <v>15</v>
      </c>
      <c r="W32" s="29">
        <v>16</v>
      </c>
      <c r="X32" s="29">
        <v>17</v>
      </c>
      <c r="Y32" s="29">
        <v>18</v>
      </c>
      <c r="Z32" s="29">
        <v>19</v>
      </c>
      <c r="AA32" s="29">
        <v>20</v>
      </c>
      <c r="AB32" s="29">
        <v>21</v>
      </c>
      <c r="AC32" s="29">
        <v>22</v>
      </c>
      <c r="AD32" s="29">
        <v>23</v>
      </c>
      <c r="AE32" s="29">
        <v>24</v>
      </c>
      <c r="AF32" s="29">
        <v>25</v>
      </c>
      <c r="AG32" s="29">
        <v>26</v>
      </c>
      <c r="AH32" s="29">
        <v>27</v>
      </c>
      <c r="AI32" s="29">
        <v>28</v>
      </c>
      <c r="AJ32" s="29">
        <v>29</v>
      </c>
      <c r="AK32" s="29">
        <v>30</v>
      </c>
      <c r="AL32" s="31" t="s">
        <v>6</v>
      </c>
      <c r="AM32" s="130"/>
      <c r="AN32" s="129"/>
    </row>
    <row r="33" spans="2:40" ht="18" customHeight="1" x14ac:dyDescent="0.3">
      <c r="B33" s="105">
        <v>1</v>
      </c>
      <c r="C33" s="177">
        <v>33505</v>
      </c>
      <c r="D33" s="7">
        <v>102</v>
      </c>
      <c r="E33" s="19" t="s">
        <v>285</v>
      </c>
      <c r="F33" s="19" t="s">
        <v>286</v>
      </c>
      <c r="G33" s="11" t="s"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 t="s">
        <v>48</v>
      </c>
      <c r="U33" s="9" t="s">
        <v>48</v>
      </c>
      <c r="V33" s="9" t="s">
        <v>48</v>
      </c>
      <c r="W33" s="9" t="s">
        <v>48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12">
        <f>COUNTIF(G33:AK33,"P")+COUNTIF(G33:AK33,"PP")+COUNTIF(G33:AK33,"PP")</f>
        <v>4</v>
      </c>
      <c r="AM33" s="36">
        <v>600</v>
      </c>
      <c r="AN33" s="36">
        <f>AM33*AL33</f>
        <v>2400</v>
      </c>
    </row>
    <row r="34" spans="2:40" ht="18" customHeight="1" x14ac:dyDescent="0.3">
      <c r="B34" s="105">
        <v>2</v>
      </c>
      <c r="C34" s="111" t="s">
        <v>316</v>
      </c>
      <c r="D34" s="7"/>
      <c r="E34" s="22" t="s">
        <v>314</v>
      </c>
      <c r="F34" s="22" t="s">
        <v>315</v>
      </c>
      <c r="G34" s="11" t="s">
        <v>0</v>
      </c>
      <c r="H34" s="9"/>
      <c r="I34" s="9"/>
      <c r="J34" s="9"/>
      <c r="K34" s="9"/>
      <c r="L34" s="9"/>
      <c r="M34" s="9"/>
      <c r="N34" s="9"/>
      <c r="O34" s="9" t="s">
        <v>48</v>
      </c>
      <c r="P34" s="9" t="s">
        <v>48</v>
      </c>
      <c r="Q34" s="9" t="s">
        <v>48</v>
      </c>
      <c r="R34" s="9" t="s">
        <v>48</v>
      </c>
      <c r="S34" s="9"/>
      <c r="T34" s="9"/>
      <c r="U34" s="9"/>
      <c r="V34" s="9"/>
      <c r="W34" s="9" t="s">
        <v>48</v>
      </c>
      <c r="X34" s="9" t="s">
        <v>48</v>
      </c>
      <c r="Y34" s="9" t="s">
        <v>48</v>
      </c>
      <c r="Z34" s="9" t="s">
        <v>48</v>
      </c>
      <c r="AA34" s="9" t="s">
        <v>48</v>
      </c>
      <c r="AB34" s="9" t="s">
        <v>48</v>
      </c>
      <c r="AC34" s="9" t="s">
        <v>48</v>
      </c>
      <c r="AD34" s="9" t="s">
        <v>48</v>
      </c>
      <c r="AE34" s="9" t="s">
        <v>48</v>
      </c>
      <c r="AF34" s="9" t="s">
        <v>48</v>
      </c>
      <c r="AG34" s="9" t="s">
        <v>48</v>
      </c>
      <c r="AH34" s="9" t="s">
        <v>48</v>
      </c>
      <c r="AI34" s="9"/>
      <c r="AJ34" s="9"/>
      <c r="AK34" s="9"/>
      <c r="AL34" s="12">
        <f t="shared" ref="AL34:AL54" si="3">COUNTIF(G34:AK34,"P")+COUNTIF(G34:AK34,"PP")+COUNTIF(G34:AK34,"PP")</f>
        <v>16</v>
      </c>
      <c r="AM34" s="36">
        <v>600</v>
      </c>
      <c r="AN34" s="36">
        <f t="shared" ref="AN34:AN54" si="4">AM34*AL34</f>
        <v>9600</v>
      </c>
    </row>
    <row r="35" spans="2:40" ht="18" customHeight="1" x14ac:dyDescent="0.3">
      <c r="B35" s="105">
        <v>3</v>
      </c>
      <c r="C35" s="175">
        <v>33504</v>
      </c>
      <c r="D35" s="7"/>
      <c r="E35" s="19" t="s">
        <v>229</v>
      </c>
      <c r="F35" s="19" t="s">
        <v>93</v>
      </c>
      <c r="G35" s="10" t="s">
        <v>1</v>
      </c>
      <c r="H35" s="9"/>
      <c r="I35" s="9"/>
      <c r="J35" s="9"/>
      <c r="K35" s="9"/>
      <c r="L35" s="9"/>
      <c r="M35" s="9" t="s">
        <v>48</v>
      </c>
      <c r="N35" s="9" t="s">
        <v>48</v>
      </c>
      <c r="O35" s="9" t="s">
        <v>48</v>
      </c>
      <c r="P35" s="9" t="s">
        <v>48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2">
        <f t="shared" si="3"/>
        <v>4</v>
      </c>
      <c r="AM35" s="36">
        <v>550</v>
      </c>
      <c r="AN35" s="36">
        <f t="shared" si="4"/>
        <v>2200</v>
      </c>
    </row>
    <row r="36" spans="2:40" ht="18" customHeight="1" x14ac:dyDescent="0.3">
      <c r="B36" s="105">
        <v>4</v>
      </c>
      <c r="C36" s="175">
        <v>33658</v>
      </c>
      <c r="D36" s="7"/>
      <c r="E36" s="19" t="s">
        <v>234</v>
      </c>
      <c r="F36" s="19" t="s">
        <v>317</v>
      </c>
      <c r="G36" s="10" t="s">
        <v>1</v>
      </c>
      <c r="H36" s="9"/>
      <c r="I36" s="9"/>
      <c r="J36" s="9" t="s">
        <v>48</v>
      </c>
      <c r="K36" s="9" t="s">
        <v>48</v>
      </c>
      <c r="L36" s="9" t="s">
        <v>48</v>
      </c>
      <c r="M36" s="9" t="s">
        <v>48</v>
      </c>
      <c r="N36" s="9"/>
      <c r="O36" s="9"/>
      <c r="P36" s="9"/>
      <c r="Q36" s="9"/>
      <c r="R36" s="9"/>
      <c r="S36" s="9"/>
      <c r="T36" s="9"/>
      <c r="U36" s="9"/>
      <c r="V36" s="9" t="s">
        <v>48</v>
      </c>
      <c r="W36" s="9" t="s">
        <v>48</v>
      </c>
      <c r="X36" s="9" t="s">
        <v>48</v>
      </c>
      <c r="Y36" s="9" t="s">
        <v>48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2">
        <f t="shared" si="3"/>
        <v>8</v>
      </c>
      <c r="AM36" s="36">
        <v>550</v>
      </c>
      <c r="AN36" s="36">
        <f t="shared" si="4"/>
        <v>4400</v>
      </c>
    </row>
    <row r="37" spans="2:40" ht="18" customHeight="1" x14ac:dyDescent="0.3">
      <c r="B37" s="105">
        <v>5</v>
      </c>
      <c r="C37" s="7">
        <v>33858</v>
      </c>
      <c r="D37" s="7"/>
      <c r="E37" s="19" t="s">
        <v>237</v>
      </c>
      <c r="F37" s="19" t="s">
        <v>238</v>
      </c>
      <c r="G37" s="10" t="s">
        <v>1</v>
      </c>
      <c r="H37" s="9"/>
      <c r="I37" s="9"/>
      <c r="J37" s="9" t="s">
        <v>48</v>
      </c>
      <c r="K37" s="9" t="s">
        <v>48</v>
      </c>
      <c r="L37" s="9" t="s">
        <v>48</v>
      </c>
      <c r="M37" s="9" t="s">
        <v>48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 t="s">
        <v>48</v>
      </c>
      <c r="AD37" s="9" t="s">
        <v>48</v>
      </c>
      <c r="AE37" s="9" t="s">
        <v>48</v>
      </c>
      <c r="AF37" s="9" t="s">
        <v>48</v>
      </c>
      <c r="AG37" s="9"/>
      <c r="AH37" s="9"/>
      <c r="AI37" s="9"/>
      <c r="AJ37" s="9"/>
      <c r="AK37" s="9"/>
      <c r="AL37" s="12">
        <f t="shared" si="3"/>
        <v>8</v>
      </c>
      <c r="AM37" s="36">
        <v>550</v>
      </c>
      <c r="AN37" s="36">
        <f t="shared" si="4"/>
        <v>4400</v>
      </c>
    </row>
    <row r="38" spans="2:40" ht="18" customHeight="1" x14ac:dyDescent="0.3">
      <c r="B38" s="105">
        <v>6</v>
      </c>
      <c r="C38" s="111" t="s">
        <v>759</v>
      </c>
      <c r="D38" s="7"/>
      <c r="E38" s="19" t="s">
        <v>365</v>
      </c>
      <c r="F38" s="19" t="s">
        <v>636</v>
      </c>
      <c r="G38" s="10" t="s">
        <v>1</v>
      </c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 t="s">
        <v>48</v>
      </c>
      <c r="X38" s="92" t="s">
        <v>48</v>
      </c>
      <c r="Y38" s="92" t="s">
        <v>48</v>
      </c>
      <c r="Z38" s="92" t="s">
        <v>48</v>
      </c>
      <c r="AA38" s="92" t="s">
        <v>48</v>
      </c>
      <c r="AB38" s="92" t="s">
        <v>48</v>
      </c>
      <c r="AC38" s="92" t="s">
        <v>48</v>
      </c>
      <c r="AD38" s="92" t="s">
        <v>48</v>
      </c>
      <c r="AE38" s="92" t="s">
        <v>48</v>
      </c>
      <c r="AF38" s="92" t="s">
        <v>48</v>
      </c>
      <c r="AG38" s="92" t="s">
        <v>48</v>
      </c>
      <c r="AH38" s="92" t="s">
        <v>48</v>
      </c>
      <c r="AI38" s="92"/>
      <c r="AJ38" s="92"/>
      <c r="AK38" s="92"/>
      <c r="AL38" s="12">
        <f t="shared" si="3"/>
        <v>12</v>
      </c>
      <c r="AM38" s="36">
        <v>550</v>
      </c>
      <c r="AN38" s="36">
        <f t="shared" si="4"/>
        <v>6600</v>
      </c>
    </row>
    <row r="39" spans="2:40" ht="18" customHeight="1" x14ac:dyDescent="0.3">
      <c r="B39" s="105">
        <v>7</v>
      </c>
      <c r="C39" s="111" t="s">
        <v>768</v>
      </c>
      <c r="D39" s="7"/>
      <c r="E39" s="19" t="s">
        <v>599</v>
      </c>
      <c r="F39" s="19" t="s">
        <v>600</v>
      </c>
      <c r="G39" s="10" t="s">
        <v>1</v>
      </c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 t="s">
        <v>48</v>
      </c>
      <c r="X39" s="92" t="s">
        <v>48</v>
      </c>
      <c r="Y39" s="92" t="s">
        <v>48</v>
      </c>
      <c r="Z39" s="92" t="s">
        <v>48</v>
      </c>
      <c r="AA39" s="92" t="s">
        <v>48</v>
      </c>
      <c r="AB39" s="92" t="s">
        <v>48</v>
      </c>
      <c r="AC39" s="92" t="s">
        <v>48</v>
      </c>
      <c r="AD39" s="92" t="s">
        <v>48</v>
      </c>
      <c r="AE39" s="92" t="s">
        <v>48</v>
      </c>
      <c r="AF39" s="92" t="s">
        <v>48</v>
      </c>
      <c r="AG39" s="92" t="s">
        <v>48</v>
      </c>
      <c r="AH39" s="92" t="s">
        <v>48</v>
      </c>
      <c r="AI39" s="92"/>
      <c r="AJ39" s="92"/>
      <c r="AK39" s="92"/>
      <c r="AL39" s="12">
        <f t="shared" si="3"/>
        <v>12</v>
      </c>
      <c r="AM39" s="36">
        <v>550</v>
      </c>
      <c r="AN39" s="36">
        <f t="shared" si="4"/>
        <v>6600</v>
      </c>
    </row>
    <row r="40" spans="2:40" ht="18" customHeight="1" x14ac:dyDescent="0.3">
      <c r="B40" s="105">
        <v>8</v>
      </c>
      <c r="C40" s="7" t="s">
        <v>639</v>
      </c>
      <c r="D40" s="7"/>
      <c r="E40" s="104" t="s">
        <v>637</v>
      </c>
      <c r="F40" s="104" t="s">
        <v>638</v>
      </c>
      <c r="G40" s="10" t="s">
        <v>1</v>
      </c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 t="s">
        <v>48</v>
      </c>
      <c r="X40" s="92" t="s">
        <v>48</v>
      </c>
      <c r="Y40" s="92" t="s">
        <v>48</v>
      </c>
      <c r="Z40" s="92" t="s">
        <v>48</v>
      </c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12">
        <f t="shared" si="3"/>
        <v>4</v>
      </c>
      <c r="AM40" s="36">
        <v>550</v>
      </c>
      <c r="AN40" s="36">
        <f t="shared" si="4"/>
        <v>2200</v>
      </c>
    </row>
    <row r="41" spans="2:40" ht="18" customHeight="1" x14ac:dyDescent="0.3">
      <c r="B41" s="105">
        <v>9</v>
      </c>
      <c r="C41" s="174" t="s">
        <v>225</v>
      </c>
      <c r="D41" s="7"/>
      <c r="E41" s="22" t="s">
        <v>226</v>
      </c>
      <c r="F41" s="22" t="s">
        <v>227</v>
      </c>
      <c r="G41" s="10" t="s">
        <v>1</v>
      </c>
      <c r="H41" s="9" t="s">
        <v>48</v>
      </c>
      <c r="I41" s="9" t="s">
        <v>48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2">
        <f t="shared" si="3"/>
        <v>2</v>
      </c>
      <c r="AM41" s="36">
        <v>550</v>
      </c>
      <c r="AN41" s="36">
        <f t="shared" si="4"/>
        <v>1100</v>
      </c>
    </row>
    <row r="42" spans="2:40" ht="18" customHeight="1" x14ac:dyDescent="0.3">
      <c r="B42" s="105">
        <v>10</v>
      </c>
      <c r="C42" s="174" t="s">
        <v>383</v>
      </c>
      <c r="D42" s="7"/>
      <c r="E42" s="22" t="s">
        <v>381</v>
      </c>
      <c r="F42" s="22" t="s">
        <v>382</v>
      </c>
      <c r="G42" s="10" t="s">
        <v>1</v>
      </c>
      <c r="H42" s="9" t="s">
        <v>48</v>
      </c>
      <c r="I42" s="9" t="s">
        <v>48</v>
      </c>
      <c r="J42" s="9" t="s">
        <v>48</v>
      </c>
      <c r="K42" s="9" t="s">
        <v>48</v>
      </c>
      <c r="L42" s="9" t="s">
        <v>48</v>
      </c>
      <c r="M42" s="9" t="s">
        <v>48</v>
      </c>
      <c r="N42" s="9"/>
      <c r="O42" s="9"/>
      <c r="P42" s="9"/>
      <c r="Q42" s="9"/>
      <c r="R42" s="9"/>
      <c r="S42" s="9"/>
      <c r="T42" s="9" t="s">
        <v>48</v>
      </c>
      <c r="U42" s="9" t="s">
        <v>48</v>
      </c>
      <c r="V42" s="9" t="s">
        <v>48</v>
      </c>
      <c r="W42" s="9" t="s">
        <v>48</v>
      </c>
      <c r="X42" s="9" t="s">
        <v>48</v>
      </c>
      <c r="Y42" s="9" t="s">
        <v>48</v>
      </c>
      <c r="Z42" s="9" t="s">
        <v>48</v>
      </c>
      <c r="AA42" s="9" t="s">
        <v>48</v>
      </c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12">
        <f t="shared" si="3"/>
        <v>14</v>
      </c>
      <c r="AM42" s="36">
        <v>550</v>
      </c>
      <c r="AN42" s="36">
        <f t="shared" si="4"/>
        <v>7700</v>
      </c>
    </row>
    <row r="43" spans="2:40" ht="18" customHeight="1" x14ac:dyDescent="0.3">
      <c r="B43" s="105">
        <v>11</v>
      </c>
      <c r="C43" s="7" t="s">
        <v>201</v>
      </c>
      <c r="D43" s="7"/>
      <c r="E43" s="19" t="s">
        <v>202</v>
      </c>
      <c r="F43" s="19" t="s">
        <v>117</v>
      </c>
      <c r="G43" s="10" t="s">
        <v>1</v>
      </c>
      <c r="H43" s="9" t="s">
        <v>48</v>
      </c>
      <c r="I43" s="9" t="s">
        <v>48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12">
        <f t="shared" si="3"/>
        <v>2</v>
      </c>
      <c r="AM43" s="36">
        <v>550</v>
      </c>
      <c r="AN43" s="36">
        <f t="shared" si="4"/>
        <v>1100</v>
      </c>
    </row>
    <row r="44" spans="2:40" ht="18" customHeight="1" x14ac:dyDescent="0.3">
      <c r="B44" s="105">
        <v>12</v>
      </c>
      <c r="C44" s="7" t="s">
        <v>454</v>
      </c>
      <c r="D44" s="7"/>
      <c r="E44" s="19" t="s">
        <v>384</v>
      </c>
      <c r="F44" s="19" t="s">
        <v>385</v>
      </c>
      <c r="G44" s="10" t="s">
        <v>1</v>
      </c>
      <c r="H44" s="9" t="s">
        <v>48</v>
      </c>
      <c r="I44" s="9" t="s">
        <v>48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 t="s">
        <v>48</v>
      </c>
      <c r="Y44" s="9" t="s">
        <v>48</v>
      </c>
      <c r="Z44" s="9" t="s">
        <v>48</v>
      </c>
      <c r="AA44" s="9" t="s">
        <v>48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12">
        <f t="shared" si="3"/>
        <v>6</v>
      </c>
      <c r="AM44" s="36">
        <v>550</v>
      </c>
      <c r="AN44" s="36">
        <f t="shared" si="4"/>
        <v>3300</v>
      </c>
    </row>
    <row r="45" spans="2:40" ht="18" customHeight="1" x14ac:dyDescent="0.3">
      <c r="B45" s="105">
        <v>13</v>
      </c>
      <c r="C45" s="111" t="s">
        <v>453</v>
      </c>
      <c r="D45" s="7"/>
      <c r="E45" s="19" t="s">
        <v>386</v>
      </c>
      <c r="F45" s="19" t="s">
        <v>360</v>
      </c>
      <c r="G45" s="10" t="s">
        <v>1</v>
      </c>
      <c r="H45" s="9" t="s">
        <v>48</v>
      </c>
      <c r="I45" s="9" t="s">
        <v>48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12">
        <f t="shared" si="3"/>
        <v>2</v>
      </c>
      <c r="AM45" s="36">
        <v>550</v>
      </c>
      <c r="AN45" s="36">
        <f t="shared" si="4"/>
        <v>1100</v>
      </c>
    </row>
    <row r="46" spans="2:40" ht="18" customHeight="1" x14ac:dyDescent="0.3">
      <c r="B46" s="105">
        <v>14</v>
      </c>
      <c r="C46" s="175">
        <v>33549</v>
      </c>
      <c r="D46" s="7"/>
      <c r="E46" s="19" t="s">
        <v>196</v>
      </c>
      <c r="F46" s="19" t="s">
        <v>197</v>
      </c>
      <c r="G46" s="10" t="s">
        <v>1</v>
      </c>
      <c r="H46" s="9"/>
      <c r="I46" s="9"/>
      <c r="J46" s="9" t="s">
        <v>48</v>
      </c>
      <c r="K46" s="9" t="s">
        <v>48</v>
      </c>
      <c r="L46" s="9" t="s">
        <v>48</v>
      </c>
      <c r="M46" s="9" t="s">
        <v>48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12">
        <f t="shared" si="3"/>
        <v>4</v>
      </c>
      <c r="AM46" s="36">
        <v>550</v>
      </c>
      <c r="AN46" s="36">
        <f t="shared" si="4"/>
        <v>2200</v>
      </c>
    </row>
    <row r="47" spans="2:40" ht="18" customHeight="1" x14ac:dyDescent="0.3">
      <c r="B47" s="105">
        <v>15</v>
      </c>
      <c r="C47" s="111" t="s">
        <v>559</v>
      </c>
      <c r="D47" s="7"/>
      <c r="E47" s="103" t="s">
        <v>358</v>
      </c>
      <c r="F47" s="103" t="s">
        <v>67</v>
      </c>
      <c r="G47" s="10" t="s">
        <v>1</v>
      </c>
      <c r="H47" s="9"/>
      <c r="I47" s="9"/>
      <c r="J47" s="9"/>
      <c r="K47" s="9"/>
      <c r="L47" s="9"/>
      <c r="M47" s="9"/>
      <c r="N47" s="9"/>
      <c r="O47" s="9" t="s">
        <v>48</v>
      </c>
      <c r="P47" s="9" t="s">
        <v>48</v>
      </c>
      <c r="Q47" s="9" t="s">
        <v>48</v>
      </c>
      <c r="R47" s="9" t="s">
        <v>48</v>
      </c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12">
        <f t="shared" si="3"/>
        <v>4</v>
      </c>
      <c r="AM47" s="36">
        <v>550</v>
      </c>
      <c r="AN47" s="36">
        <f t="shared" si="4"/>
        <v>2200</v>
      </c>
    </row>
    <row r="48" spans="2:40" ht="18" customHeight="1" x14ac:dyDescent="0.3">
      <c r="B48" s="105">
        <v>16</v>
      </c>
      <c r="C48" s="7" t="s">
        <v>553</v>
      </c>
      <c r="D48" s="7"/>
      <c r="E48" s="104" t="s">
        <v>74</v>
      </c>
      <c r="F48" s="104" t="s">
        <v>75</v>
      </c>
      <c r="G48" s="10" t="s">
        <v>1</v>
      </c>
      <c r="H48" s="91"/>
      <c r="I48" s="91"/>
      <c r="J48" s="91"/>
      <c r="K48" s="91"/>
      <c r="L48" s="91"/>
      <c r="M48" s="91"/>
      <c r="N48" s="91"/>
      <c r="O48" s="91"/>
      <c r="P48" s="91"/>
      <c r="Q48" s="91" t="s">
        <v>48</v>
      </c>
      <c r="R48" s="91" t="s">
        <v>48</v>
      </c>
      <c r="S48" s="91" t="s">
        <v>48</v>
      </c>
      <c r="T48" s="91" t="s">
        <v>48</v>
      </c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12">
        <f t="shared" si="3"/>
        <v>4</v>
      </c>
      <c r="AM48" s="36">
        <v>550</v>
      </c>
      <c r="AN48" s="36">
        <f t="shared" si="4"/>
        <v>2200</v>
      </c>
    </row>
    <row r="49" spans="2:40" ht="18" customHeight="1" x14ac:dyDescent="0.3">
      <c r="B49" s="105">
        <v>17</v>
      </c>
      <c r="C49" s="111" t="s">
        <v>595</v>
      </c>
      <c r="D49" s="7"/>
      <c r="E49" s="103" t="s">
        <v>594</v>
      </c>
      <c r="F49" s="103" t="s">
        <v>90</v>
      </c>
      <c r="G49" s="10" t="s">
        <v>1</v>
      </c>
      <c r="H49" s="91"/>
      <c r="I49" s="91"/>
      <c r="J49" s="91"/>
      <c r="K49" s="91"/>
      <c r="L49" s="91"/>
      <c r="M49" s="91"/>
      <c r="N49" s="91"/>
      <c r="O49" s="91"/>
      <c r="P49" s="91"/>
      <c r="Q49" s="91" t="s">
        <v>48</v>
      </c>
      <c r="R49" s="91" t="s">
        <v>48</v>
      </c>
      <c r="S49" s="91" t="s">
        <v>48</v>
      </c>
      <c r="T49" s="91" t="s">
        <v>48</v>
      </c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12">
        <f t="shared" si="3"/>
        <v>4</v>
      </c>
      <c r="AM49" s="36">
        <v>550</v>
      </c>
      <c r="AN49" s="36">
        <f t="shared" si="4"/>
        <v>2200</v>
      </c>
    </row>
    <row r="50" spans="2:40" ht="18" customHeight="1" x14ac:dyDescent="0.3">
      <c r="B50" s="105">
        <v>18</v>
      </c>
      <c r="C50" s="111" t="s">
        <v>530</v>
      </c>
      <c r="D50" s="7"/>
      <c r="E50" s="103" t="s">
        <v>528</v>
      </c>
      <c r="F50" s="103" t="s">
        <v>529</v>
      </c>
      <c r="G50" s="10" t="s">
        <v>1</v>
      </c>
      <c r="H50" s="9"/>
      <c r="I50" s="9"/>
      <c r="J50" s="9"/>
      <c r="K50" s="9"/>
      <c r="L50" s="9"/>
      <c r="M50" s="9"/>
      <c r="N50" s="9"/>
      <c r="O50" s="9" t="s">
        <v>48</v>
      </c>
      <c r="P50" s="9" t="s">
        <v>48</v>
      </c>
      <c r="Q50" s="9" t="s">
        <v>48</v>
      </c>
      <c r="R50" s="9" t="s">
        <v>48</v>
      </c>
      <c r="S50" s="9"/>
      <c r="T50" s="9"/>
      <c r="U50" s="9"/>
      <c r="V50" s="9"/>
      <c r="W50" s="9"/>
      <c r="X50" s="9" t="s">
        <v>48</v>
      </c>
      <c r="Y50" s="9" t="s">
        <v>48</v>
      </c>
      <c r="Z50" s="9" t="s">
        <v>48</v>
      </c>
      <c r="AA50" s="9" t="s">
        <v>48</v>
      </c>
      <c r="AB50" s="9"/>
      <c r="AC50" s="9"/>
      <c r="AD50" s="9"/>
      <c r="AE50" s="9"/>
      <c r="AF50" s="9"/>
      <c r="AG50" s="9"/>
      <c r="AH50" s="9" t="s">
        <v>48</v>
      </c>
      <c r="AI50" s="9" t="s">
        <v>48</v>
      </c>
      <c r="AJ50" s="9" t="s">
        <v>48</v>
      </c>
      <c r="AK50" s="9" t="s">
        <v>48</v>
      </c>
      <c r="AL50" s="12">
        <f t="shared" si="3"/>
        <v>12</v>
      </c>
      <c r="AM50" s="36">
        <v>550</v>
      </c>
      <c r="AN50" s="36">
        <f t="shared" si="4"/>
        <v>6600</v>
      </c>
    </row>
    <row r="51" spans="2:40" ht="18" customHeight="1" x14ac:dyDescent="0.3">
      <c r="B51" s="105">
        <v>19</v>
      </c>
      <c r="C51" s="119" t="s">
        <v>801</v>
      </c>
      <c r="D51" s="7"/>
      <c r="E51" s="19" t="s">
        <v>560</v>
      </c>
      <c r="F51" s="19" t="s">
        <v>134</v>
      </c>
      <c r="G51" s="10" t="s">
        <v>1</v>
      </c>
      <c r="H51" s="91"/>
      <c r="I51" s="91"/>
      <c r="J51" s="91"/>
      <c r="K51" s="91"/>
      <c r="L51" s="91"/>
      <c r="M51" s="91"/>
      <c r="N51" s="91"/>
      <c r="O51" s="91" t="s">
        <v>48</v>
      </c>
      <c r="P51" s="91" t="s">
        <v>48</v>
      </c>
      <c r="Q51" s="91" t="s">
        <v>48</v>
      </c>
      <c r="R51" s="91" t="s">
        <v>48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12">
        <f t="shared" si="3"/>
        <v>4</v>
      </c>
      <c r="AM51" s="36">
        <v>550</v>
      </c>
      <c r="AN51" s="36">
        <f t="shared" si="4"/>
        <v>2200</v>
      </c>
    </row>
    <row r="52" spans="2:40" ht="18" customHeight="1" x14ac:dyDescent="0.3">
      <c r="B52" s="105">
        <v>20</v>
      </c>
      <c r="C52" s="174" t="s">
        <v>443</v>
      </c>
      <c r="D52" s="7"/>
      <c r="E52" s="103" t="s">
        <v>441</v>
      </c>
      <c r="F52" s="103" t="s">
        <v>442</v>
      </c>
      <c r="G52" s="10" t="s">
        <v>1</v>
      </c>
      <c r="H52" s="91"/>
      <c r="I52" s="91"/>
      <c r="J52" s="91"/>
      <c r="K52" s="91"/>
      <c r="L52" s="91"/>
      <c r="M52" s="91"/>
      <c r="N52" s="91"/>
      <c r="O52" s="91"/>
      <c r="P52" s="91"/>
      <c r="Q52" s="91" t="s">
        <v>48</v>
      </c>
      <c r="R52" s="91" t="s">
        <v>48</v>
      </c>
      <c r="S52" s="91" t="s">
        <v>48</v>
      </c>
      <c r="T52" s="91" t="s">
        <v>48</v>
      </c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12">
        <f t="shared" si="3"/>
        <v>4</v>
      </c>
      <c r="AM52" s="36">
        <v>550</v>
      </c>
      <c r="AN52" s="36">
        <f t="shared" si="4"/>
        <v>2200</v>
      </c>
    </row>
    <row r="53" spans="2:40" ht="18" customHeight="1" x14ac:dyDescent="0.3">
      <c r="B53" s="105">
        <v>21</v>
      </c>
      <c r="C53" s="111" t="s">
        <v>463</v>
      </c>
      <c r="D53" s="7"/>
      <c r="E53" s="103" t="s">
        <v>365</v>
      </c>
      <c r="F53" s="103" t="s">
        <v>366</v>
      </c>
      <c r="G53" s="10" t="s">
        <v>1</v>
      </c>
      <c r="H53" s="9"/>
      <c r="I53" s="9"/>
      <c r="J53" s="9"/>
      <c r="K53" s="9"/>
      <c r="L53" s="9"/>
      <c r="M53" s="9"/>
      <c r="N53" s="9"/>
      <c r="O53" s="9" t="s">
        <v>48</v>
      </c>
      <c r="P53" s="9" t="s">
        <v>48</v>
      </c>
      <c r="Q53" s="9" t="s">
        <v>48</v>
      </c>
      <c r="R53" s="9" t="s">
        <v>48</v>
      </c>
      <c r="S53" s="9"/>
      <c r="T53" s="9"/>
      <c r="U53" s="9"/>
      <c r="V53" s="9"/>
      <c r="W53" s="9"/>
      <c r="X53" s="9" t="s">
        <v>48</v>
      </c>
      <c r="Y53" s="9" t="s">
        <v>48</v>
      </c>
      <c r="Z53" s="9" t="s">
        <v>48</v>
      </c>
      <c r="AA53" s="9" t="s">
        <v>48</v>
      </c>
      <c r="AB53" s="9"/>
      <c r="AC53" s="9" t="s">
        <v>48</v>
      </c>
      <c r="AD53" s="9" t="s">
        <v>48</v>
      </c>
      <c r="AE53" s="9" t="s">
        <v>48</v>
      </c>
      <c r="AF53" s="9" t="s">
        <v>48</v>
      </c>
      <c r="AG53" s="9"/>
      <c r="AH53" s="9" t="s">
        <v>48</v>
      </c>
      <c r="AI53" s="9" t="s">
        <v>48</v>
      </c>
      <c r="AJ53" s="9" t="s">
        <v>48</v>
      </c>
      <c r="AK53" s="9" t="s">
        <v>48</v>
      </c>
      <c r="AL53" s="12">
        <f t="shared" si="3"/>
        <v>16</v>
      </c>
      <c r="AM53" s="36">
        <v>550</v>
      </c>
      <c r="AN53" s="36">
        <f t="shared" si="4"/>
        <v>8800</v>
      </c>
    </row>
    <row r="54" spans="2:40" ht="18" customHeight="1" x14ac:dyDescent="0.3">
      <c r="B54" s="105">
        <v>22</v>
      </c>
      <c r="C54" s="7">
        <v>33586</v>
      </c>
      <c r="D54" s="7"/>
      <c r="E54" s="19" t="s">
        <v>417</v>
      </c>
      <c r="F54" s="19" t="s">
        <v>418</v>
      </c>
      <c r="G54" s="10" t="s">
        <v>1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 t="s">
        <v>48</v>
      </c>
      <c r="W54" s="9" t="s">
        <v>48</v>
      </c>
      <c r="X54" s="9" t="s">
        <v>48</v>
      </c>
      <c r="Y54" s="9" t="s">
        <v>48</v>
      </c>
      <c r="Z54" s="9"/>
      <c r="AA54" s="9"/>
      <c r="AB54" s="9"/>
      <c r="AC54" s="9"/>
      <c r="AD54" s="9"/>
      <c r="AE54" s="9"/>
      <c r="AF54" s="9"/>
      <c r="AG54" s="9"/>
      <c r="AH54" s="9" t="s">
        <v>48</v>
      </c>
      <c r="AI54" s="9" t="s">
        <v>48</v>
      </c>
      <c r="AJ54" s="9" t="s">
        <v>48</v>
      </c>
      <c r="AK54" s="9" t="s">
        <v>48</v>
      </c>
      <c r="AL54" s="12">
        <f t="shared" si="3"/>
        <v>8</v>
      </c>
      <c r="AM54" s="36">
        <v>550</v>
      </c>
      <c r="AN54" s="36">
        <f t="shared" si="4"/>
        <v>4400</v>
      </c>
    </row>
    <row r="55" spans="2:40" ht="18" customHeight="1" x14ac:dyDescent="0.3">
      <c r="B55" s="128" t="s">
        <v>15</v>
      </c>
      <c r="C55" s="128"/>
      <c r="D55" s="128"/>
      <c r="E55" s="128"/>
      <c r="F55" s="128"/>
      <c r="G55" s="128"/>
      <c r="H55" s="12">
        <f t="shared" ref="H55:AK55" si="5">COUNTIF(H33:H54,"P")+COUNTIF(H33:H54,"PP")+COUNTIF(H33:H54,"PP")</f>
        <v>5</v>
      </c>
      <c r="I55" s="12">
        <f t="shared" si="5"/>
        <v>5</v>
      </c>
      <c r="J55" s="12">
        <f t="shared" si="5"/>
        <v>4</v>
      </c>
      <c r="K55" s="12">
        <f t="shared" si="5"/>
        <v>4</v>
      </c>
      <c r="L55" s="12">
        <f t="shared" si="5"/>
        <v>4</v>
      </c>
      <c r="M55" s="12">
        <f t="shared" si="5"/>
        <v>5</v>
      </c>
      <c r="N55" s="12">
        <f t="shared" si="5"/>
        <v>1</v>
      </c>
      <c r="O55" s="12">
        <f t="shared" si="5"/>
        <v>6</v>
      </c>
      <c r="P55" s="12">
        <f t="shared" si="5"/>
        <v>6</v>
      </c>
      <c r="Q55" s="12">
        <f t="shared" si="5"/>
        <v>8</v>
      </c>
      <c r="R55" s="12">
        <f t="shared" si="5"/>
        <v>8</v>
      </c>
      <c r="S55" s="12">
        <f t="shared" si="5"/>
        <v>3</v>
      </c>
      <c r="T55" s="12">
        <f t="shared" si="5"/>
        <v>5</v>
      </c>
      <c r="U55" s="12">
        <f t="shared" si="5"/>
        <v>2</v>
      </c>
      <c r="V55" s="12">
        <f t="shared" si="5"/>
        <v>4</v>
      </c>
      <c r="W55" s="12">
        <f t="shared" si="5"/>
        <v>8</v>
      </c>
      <c r="X55" s="12">
        <f t="shared" si="5"/>
        <v>10</v>
      </c>
      <c r="Y55" s="12">
        <f t="shared" si="5"/>
        <v>10</v>
      </c>
      <c r="Z55" s="12">
        <f t="shared" si="5"/>
        <v>8</v>
      </c>
      <c r="AA55" s="12">
        <f t="shared" si="5"/>
        <v>7</v>
      </c>
      <c r="AB55" s="12">
        <f t="shared" si="5"/>
        <v>3</v>
      </c>
      <c r="AC55" s="12">
        <f t="shared" si="5"/>
        <v>5</v>
      </c>
      <c r="AD55" s="12">
        <f t="shared" si="5"/>
        <v>5</v>
      </c>
      <c r="AE55" s="12">
        <f t="shared" si="5"/>
        <v>5</v>
      </c>
      <c r="AF55" s="12">
        <f t="shared" si="5"/>
        <v>5</v>
      </c>
      <c r="AG55" s="12">
        <f t="shared" si="5"/>
        <v>3</v>
      </c>
      <c r="AH55" s="12">
        <f t="shared" si="5"/>
        <v>6</v>
      </c>
      <c r="AI55" s="12">
        <f t="shared" si="5"/>
        <v>3</v>
      </c>
      <c r="AJ55" s="12">
        <f t="shared" si="5"/>
        <v>3</v>
      </c>
      <c r="AK55" s="12">
        <f t="shared" si="5"/>
        <v>3</v>
      </c>
      <c r="AL55" s="28">
        <f>SUM(AL33:AL54)</f>
        <v>154</v>
      </c>
      <c r="AN55" s="37">
        <f>SUM(AN33:AN54)</f>
        <v>85700</v>
      </c>
    </row>
    <row r="57" spans="2:40" ht="18" customHeight="1" x14ac:dyDescent="0.3">
      <c r="B57" s="134" t="s">
        <v>474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37">
        <f>AN27+AN55</f>
        <v>167000</v>
      </c>
    </row>
  </sheetData>
  <mergeCells count="11">
    <mergeCell ref="AM2:AM4"/>
    <mergeCell ref="AN2:AN4"/>
    <mergeCell ref="AM30:AM32"/>
    <mergeCell ref="AN30:AN32"/>
    <mergeCell ref="B57:AM57"/>
    <mergeCell ref="B55:G55"/>
    <mergeCell ref="B2:AL2"/>
    <mergeCell ref="B3:AL3"/>
    <mergeCell ref="B27:G27"/>
    <mergeCell ref="B30:AL30"/>
    <mergeCell ref="B31:AL31"/>
  </mergeCells>
  <conditionalFormatting sqref="C3">
    <cfRule type="duplicateValues" dxfId="264" priority="32"/>
  </conditionalFormatting>
  <conditionalFormatting sqref="C4">
    <cfRule type="duplicateValues" dxfId="263" priority="33"/>
  </conditionalFormatting>
  <conditionalFormatting sqref="C31">
    <cfRule type="duplicateValues" dxfId="262" priority="15"/>
  </conditionalFormatting>
  <conditionalFormatting sqref="C32">
    <cfRule type="duplicateValues" dxfId="261" priority="16"/>
  </conditionalFormatting>
  <conditionalFormatting sqref="C5:F5">
    <cfRule type="duplicateValues" dxfId="260" priority="30"/>
  </conditionalFormatting>
  <conditionalFormatting sqref="C6:F7">
    <cfRule type="duplicateValues" dxfId="259" priority="29"/>
  </conditionalFormatting>
  <conditionalFormatting sqref="C9:F9">
    <cfRule type="duplicateValues" dxfId="258" priority="21"/>
  </conditionalFormatting>
  <conditionalFormatting sqref="C10:F10">
    <cfRule type="duplicateValues" dxfId="257" priority="25"/>
  </conditionalFormatting>
  <conditionalFormatting sqref="C11:F11">
    <cfRule type="duplicateValues" dxfId="256" priority="28"/>
  </conditionalFormatting>
  <conditionalFormatting sqref="C12:F12">
    <cfRule type="duplicateValues" dxfId="255" priority="24"/>
  </conditionalFormatting>
  <conditionalFormatting sqref="C13:F21">
    <cfRule type="duplicateValues" dxfId="254" priority="26"/>
  </conditionalFormatting>
  <conditionalFormatting sqref="C22:F22">
    <cfRule type="duplicateValues" dxfId="253" priority="20"/>
  </conditionalFormatting>
  <conditionalFormatting sqref="C26:F26">
    <cfRule type="duplicateValues" dxfId="252" priority="18"/>
  </conditionalFormatting>
  <conditionalFormatting sqref="C33:F33">
    <cfRule type="duplicateValues" dxfId="251" priority="13"/>
  </conditionalFormatting>
  <conditionalFormatting sqref="C34:F34">
    <cfRule type="duplicateValues" dxfId="250" priority="12"/>
  </conditionalFormatting>
  <conditionalFormatting sqref="C36:F36">
    <cfRule type="duplicateValues" dxfId="249" priority="4"/>
  </conditionalFormatting>
  <conditionalFormatting sqref="C37:F37">
    <cfRule type="duplicateValues" dxfId="248" priority="8"/>
  </conditionalFormatting>
  <conditionalFormatting sqref="C41:F41">
    <cfRule type="duplicateValues" dxfId="247" priority="5"/>
  </conditionalFormatting>
  <conditionalFormatting sqref="C42:F42">
    <cfRule type="duplicateValues" dxfId="246" priority="6"/>
  </conditionalFormatting>
  <conditionalFormatting sqref="C43:F43">
    <cfRule type="duplicateValues" dxfId="245" priority="3"/>
  </conditionalFormatting>
  <conditionalFormatting sqref="C54:F54">
    <cfRule type="duplicateValues" dxfId="244" priority="1"/>
  </conditionalFormatting>
  <conditionalFormatting sqref="H3:AK26 H31:AK54">
    <cfRule type="cellIs" dxfId="243" priority="31" operator="equal">
      <formula>"a"</formula>
    </cfRule>
  </conditionalFormatting>
  <conditionalFormatting sqref="C23:F25">
    <cfRule type="duplicateValues" dxfId="242" priority="1727"/>
  </conditionalFormatting>
  <conditionalFormatting sqref="C6:C7 C9:C26">
    <cfRule type="duplicateValues" dxfId="241" priority="1730"/>
  </conditionalFormatting>
  <conditionalFormatting sqref="C38:F40">
    <cfRule type="duplicateValues" dxfId="240" priority="1864"/>
  </conditionalFormatting>
  <conditionalFormatting sqref="C44:F53">
    <cfRule type="duplicateValues" dxfId="239" priority="1882"/>
  </conditionalFormatting>
  <conditionalFormatting sqref="C34 C36:C54">
    <cfRule type="duplicateValues" dxfId="238" priority="1884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67"/>
  <sheetViews>
    <sheetView workbookViewId="0">
      <pane xSplit="5" ySplit="4" topLeftCell="F30" activePane="bottomRight" state="frozen"/>
      <selection pane="topRight" activeCell="F1" sqref="F1"/>
      <selection pane="bottomLeft" activeCell="A5" sqref="A5"/>
      <selection pane="bottomRight" activeCell="C44" sqref="C44"/>
    </sheetView>
  </sheetViews>
  <sheetFormatPr defaultRowHeight="14.4" x14ac:dyDescent="0.3"/>
  <cols>
    <col min="1" max="1" width="3.44140625" style="1" customWidth="1"/>
    <col min="2" max="2" width="5.33203125" style="1" customWidth="1"/>
    <col min="3" max="3" width="9" style="62" customWidth="1"/>
    <col min="4" max="4" width="7.88671875" style="1" customWidth="1"/>
    <col min="5" max="5" width="19.44140625" style="2" customWidth="1"/>
    <col min="6" max="6" width="19.44140625" style="1" customWidth="1"/>
    <col min="7" max="7" width="5.5546875" style="1" customWidth="1"/>
    <col min="8" max="37" width="3.5546875" style="1" customWidth="1"/>
    <col min="38" max="38" width="5.6640625" customWidth="1"/>
    <col min="39" max="39" width="9.109375" customWidth="1"/>
    <col min="40" max="40" width="11.44140625" customWidth="1"/>
  </cols>
  <sheetData>
    <row r="2" spans="1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29" t="s">
        <v>471</v>
      </c>
      <c r="AN2" s="129" t="s">
        <v>468</v>
      </c>
    </row>
    <row r="3" spans="1:40" ht="18" customHeight="1" x14ac:dyDescent="0.3">
      <c r="B3" s="136" t="s">
        <v>788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29"/>
      <c r="AN3" s="129"/>
    </row>
    <row r="4" spans="1:40" s="54" customFormat="1" ht="18" customHeight="1" x14ac:dyDescent="0.2">
      <c r="A4" s="24"/>
      <c r="B4" s="46" t="s">
        <v>5</v>
      </c>
      <c r="C4" s="46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29"/>
      <c r="AN4" s="129"/>
    </row>
    <row r="5" spans="1:40" s="23" customFormat="1" ht="16.2" customHeight="1" x14ac:dyDescent="0.3">
      <c r="A5" s="1"/>
      <c r="B5" s="8">
        <v>1</v>
      </c>
      <c r="C5" s="10" t="s">
        <v>277</v>
      </c>
      <c r="D5" s="10"/>
      <c r="E5" s="20" t="s">
        <v>278</v>
      </c>
      <c r="F5" s="20" t="s">
        <v>279</v>
      </c>
      <c r="G5" s="11" t="s">
        <v>0</v>
      </c>
      <c r="H5" s="9" t="s">
        <v>48</v>
      </c>
      <c r="I5" s="9" t="s">
        <v>48</v>
      </c>
      <c r="J5" s="9" t="s">
        <v>48</v>
      </c>
      <c r="K5" s="9" t="s">
        <v>48</v>
      </c>
      <c r="L5" s="9" t="s">
        <v>48</v>
      </c>
      <c r="M5" s="9" t="s">
        <v>48</v>
      </c>
      <c r="N5" s="9" t="s">
        <v>48</v>
      </c>
      <c r="O5" s="9" t="s">
        <v>48</v>
      </c>
      <c r="P5" s="9" t="s">
        <v>48</v>
      </c>
      <c r="Q5" s="9" t="s">
        <v>48</v>
      </c>
      <c r="R5" s="9" t="s">
        <v>48</v>
      </c>
      <c r="S5" s="9" t="s">
        <v>48</v>
      </c>
      <c r="T5" s="9"/>
      <c r="U5" s="9"/>
      <c r="V5" s="9"/>
      <c r="W5" s="9"/>
      <c r="X5" s="9"/>
      <c r="Y5" s="9"/>
      <c r="Z5" s="9"/>
      <c r="AA5" s="9"/>
      <c r="AB5" s="9" t="s">
        <v>48</v>
      </c>
      <c r="AC5" s="9" t="s">
        <v>48</v>
      </c>
      <c r="AD5" s="9" t="s">
        <v>48</v>
      </c>
      <c r="AE5" s="9" t="s">
        <v>48</v>
      </c>
      <c r="AF5" s="9"/>
      <c r="AG5" s="9"/>
      <c r="AH5" s="9"/>
      <c r="AI5" s="9"/>
      <c r="AJ5" s="9"/>
      <c r="AK5" s="9"/>
      <c r="AL5" s="12">
        <f>COUNTIF(G5:AK5,"P")+COUNTIF(G5:AK5,"PP")+COUNTIF(G5:AK5,"PP")</f>
        <v>16</v>
      </c>
      <c r="AM5" s="36">
        <v>600</v>
      </c>
      <c r="AN5" s="36">
        <f>AL5*AM5</f>
        <v>9600</v>
      </c>
    </row>
    <row r="6" spans="1:40" s="23" customFormat="1" ht="16.2" customHeight="1" x14ac:dyDescent="0.3">
      <c r="A6" s="1"/>
      <c r="B6" s="8">
        <v>2</v>
      </c>
      <c r="C6" s="168" t="s">
        <v>138</v>
      </c>
      <c r="D6" s="10"/>
      <c r="E6" s="20" t="s">
        <v>144</v>
      </c>
      <c r="F6" s="20" t="s">
        <v>145</v>
      </c>
      <c r="G6" s="11" t="s">
        <v>0</v>
      </c>
      <c r="H6" s="9" t="s">
        <v>48</v>
      </c>
      <c r="I6" s="9" t="s">
        <v>48</v>
      </c>
      <c r="J6" s="9" t="s">
        <v>48</v>
      </c>
      <c r="K6" s="9" t="s">
        <v>48</v>
      </c>
      <c r="L6" s="9" t="s">
        <v>48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 t="s">
        <v>48</v>
      </c>
      <c r="AE6" s="9" t="s">
        <v>48</v>
      </c>
      <c r="AF6" s="9" t="s">
        <v>48</v>
      </c>
      <c r="AG6" s="9" t="s">
        <v>48</v>
      </c>
      <c r="AH6" s="9"/>
      <c r="AI6" s="9"/>
      <c r="AJ6" s="9"/>
      <c r="AK6" s="9"/>
      <c r="AL6" s="12">
        <f t="shared" ref="AL6:AL31" si="0">COUNTIF(G6:AK6,"P")+COUNTIF(G6:AK6,"PP")+COUNTIF(G6:AK6,"PP")</f>
        <v>9</v>
      </c>
      <c r="AM6" s="36">
        <v>600</v>
      </c>
      <c r="AN6" s="36">
        <f t="shared" ref="AN6:AN31" si="1">AL6*AM6</f>
        <v>5400</v>
      </c>
    </row>
    <row r="7" spans="1:40" s="23" customFormat="1" ht="16.2" customHeight="1" x14ac:dyDescent="0.3">
      <c r="A7" s="1"/>
      <c r="B7" s="8">
        <v>3</v>
      </c>
      <c r="C7" s="10">
        <v>34154</v>
      </c>
      <c r="D7" s="10"/>
      <c r="E7" s="20" t="s">
        <v>301</v>
      </c>
      <c r="F7" s="20" t="s">
        <v>196</v>
      </c>
      <c r="G7" s="10" t="s">
        <v>1</v>
      </c>
      <c r="H7" s="9"/>
      <c r="I7" s="9" t="s">
        <v>48</v>
      </c>
      <c r="J7" s="9" t="s">
        <v>48</v>
      </c>
      <c r="K7" s="9" t="s">
        <v>48</v>
      </c>
      <c r="L7" s="9" t="s">
        <v>48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 t="s">
        <v>48</v>
      </c>
      <c r="AL7" s="12">
        <f t="shared" si="0"/>
        <v>5</v>
      </c>
      <c r="AM7" s="36">
        <v>550</v>
      </c>
      <c r="AN7" s="36">
        <f t="shared" si="1"/>
        <v>2750</v>
      </c>
    </row>
    <row r="8" spans="1:40" s="23" customFormat="1" ht="16.2" customHeight="1" x14ac:dyDescent="0.3">
      <c r="A8" s="1"/>
      <c r="B8" s="8">
        <v>4</v>
      </c>
      <c r="C8" s="110" t="s">
        <v>84</v>
      </c>
      <c r="D8" s="10"/>
      <c r="E8" s="21" t="s">
        <v>93</v>
      </c>
      <c r="F8" s="21" t="s">
        <v>94</v>
      </c>
      <c r="G8" s="10" t="s">
        <v>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 t="s">
        <v>48</v>
      </c>
      <c r="AH8" s="9" t="s">
        <v>48</v>
      </c>
      <c r="AI8" s="9" t="s">
        <v>48</v>
      </c>
      <c r="AJ8" s="9" t="s">
        <v>48</v>
      </c>
      <c r="AK8" s="9" t="s">
        <v>48</v>
      </c>
      <c r="AL8" s="12">
        <f t="shared" si="0"/>
        <v>5</v>
      </c>
      <c r="AM8" s="36">
        <v>550</v>
      </c>
      <c r="AN8" s="36">
        <f t="shared" si="1"/>
        <v>2750</v>
      </c>
    </row>
    <row r="9" spans="1:40" s="23" customFormat="1" ht="16.2" customHeight="1" x14ac:dyDescent="0.3">
      <c r="A9" s="1"/>
      <c r="B9" s="101">
        <v>5</v>
      </c>
      <c r="C9" s="173" t="s">
        <v>265</v>
      </c>
      <c r="D9" s="10"/>
      <c r="E9" s="21" t="s">
        <v>266</v>
      </c>
      <c r="F9" s="21" t="s">
        <v>267</v>
      </c>
      <c r="G9" s="10" t="s">
        <v>1</v>
      </c>
      <c r="H9" s="9" t="s">
        <v>48</v>
      </c>
      <c r="I9" s="9" t="s">
        <v>48</v>
      </c>
      <c r="J9" s="9" t="s">
        <v>48</v>
      </c>
      <c r="K9" s="9" t="s">
        <v>48</v>
      </c>
      <c r="L9" s="9" t="s">
        <v>48</v>
      </c>
      <c r="M9" s="9" t="s">
        <v>48</v>
      </c>
      <c r="N9" s="9" t="s">
        <v>48</v>
      </c>
      <c r="O9" s="9" t="s">
        <v>48</v>
      </c>
      <c r="P9" s="9" t="s">
        <v>48</v>
      </c>
      <c r="Q9" s="9" t="s">
        <v>48</v>
      </c>
      <c r="R9" s="9" t="s">
        <v>48</v>
      </c>
      <c r="S9" s="9" t="s">
        <v>48</v>
      </c>
      <c r="T9" s="9"/>
      <c r="U9" s="9"/>
      <c r="V9" s="9"/>
      <c r="W9" s="9"/>
      <c r="X9" s="9"/>
      <c r="Y9" s="9"/>
      <c r="Z9" s="9"/>
      <c r="AA9" s="9"/>
      <c r="AB9" s="9" t="s">
        <v>48</v>
      </c>
      <c r="AC9" s="9" t="s">
        <v>48</v>
      </c>
      <c r="AD9" s="9" t="s">
        <v>48</v>
      </c>
      <c r="AE9" s="9" t="s">
        <v>48</v>
      </c>
      <c r="AF9" s="9" t="s">
        <v>48</v>
      </c>
      <c r="AG9" s="9" t="s">
        <v>48</v>
      </c>
      <c r="AH9" s="9" t="s">
        <v>48</v>
      </c>
      <c r="AI9" s="9" t="s">
        <v>48</v>
      </c>
      <c r="AJ9" s="9" t="s">
        <v>48</v>
      </c>
      <c r="AK9" s="9" t="s">
        <v>48</v>
      </c>
      <c r="AL9" s="12">
        <f t="shared" si="0"/>
        <v>22</v>
      </c>
      <c r="AM9" s="36">
        <v>550</v>
      </c>
      <c r="AN9" s="36">
        <f t="shared" si="1"/>
        <v>12100</v>
      </c>
    </row>
    <row r="10" spans="1:40" s="23" customFormat="1" ht="16.2" customHeight="1" x14ac:dyDescent="0.3">
      <c r="A10" s="1"/>
      <c r="B10" s="101">
        <v>6</v>
      </c>
      <c r="C10" s="10" t="s">
        <v>274</v>
      </c>
      <c r="D10" s="10"/>
      <c r="E10" s="20" t="s">
        <v>275</v>
      </c>
      <c r="F10" s="20" t="s">
        <v>276</v>
      </c>
      <c r="G10" s="10" t="s">
        <v>1</v>
      </c>
      <c r="H10" s="9" t="s">
        <v>48</v>
      </c>
      <c r="I10" s="9" t="s">
        <v>48</v>
      </c>
      <c r="J10" s="9" t="s">
        <v>48</v>
      </c>
      <c r="K10" s="9" t="s">
        <v>48</v>
      </c>
      <c r="L10" s="9" t="s">
        <v>48</v>
      </c>
      <c r="M10" s="9" t="s">
        <v>48</v>
      </c>
      <c r="N10" s="9" t="s">
        <v>48</v>
      </c>
      <c r="O10" s="9" t="s">
        <v>48</v>
      </c>
      <c r="P10" s="9" t="s">
        <v>48</v>
      </c>
      <c r="Q10" s="9" t="s">
        <v>48</v>
      </c>
      <c r="R10" s="9" t="s">
        <v>48</v>
      </c>
      <c r="S10" s="9" t="s">
        <v>48</v>
      </c>
      <c r="T10" s="9"/>
      <c r="U10" s="9"/>
      <c r="V10" s="9"/>
      <c r="W10" s="9"/>
      <c r="X10" s="9"/>
      <c r="Y10" s="9"/>
      <c r="Z10" s="9"/>
      <c r="AA10" s="9"/>
      <c r="AB10" s="9" t="s">
        <v>48</v>
      </c>
      <c r="AC10" s="9" t="s">
        <v>48</v>
      </c>
      <c r="AD10" s="9" t="s">
        <v>48</v>
      </c>
      <c r="AE10" s="9" t="s">
        <v>48</v>
      </c>
      <c r="AF10" s="9"/>
      <c r="AG10" s="9"/>
      <c r="AH10" s="9"/>
      <c r="AI10" s="9"/>
      <c r="AJ10" s="9"/>
      <c r="AK10" s="9"/>
      <c r="AL10" s="12">
        <f t="shared" si="0"/>
        <v>16</v>
      </c>
      <c r="AM10" s="36">
        <v>550</v>
      </c>
      <c r="AN10" s="36">
        <f t="shared" si="1"/>
        <v>8800</v>
      </c>
    </row>
    <row r="11" spans="1:40" s="23" customFormat="1" ht="16.2" customHeight="1" x14ac:dyDescent="0.3">
      <c r="A11" s="1"/>
      <c r="B11" s="101">
        <v>7</v>
      </c>
      <c r="C11" s="110" t="s">
        <v>367</v>
      </c>
      <c r="D11" s="10"/>
      <c r="E11" s="21" t="s">
        <v>260</v>
      </c>
      <c r="F11" s="21" t="s">
        <v>261</v>
      </c>
      <c r="G11" s="10" t="s">
        <v>1</v>
      </c>
      <c r="H11" s="9" t="s">
        <v>48</v>
      </c>
      <c r="I11" s="9" t="s">
        <v>48</v>
      </c>
      <c r="J11" s="9" t="s">
        <v>48</v>
      </c>
      <c r="K11" s="9" t="s">
        <v>48</v>
      </c>
      <c r="L11" s="9" t="s">
        <v>48</v>
      </c>
      <c r="M11" s="9" t="s">
        <v>48</v>
      </c>
      <c r="N11" s="9" t="s">
        <v>48</v>
      </c>
      <c r="O11" s="9" t="s">
        <v>48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2">
        <f t="shared" si="0"/>
        <v>8</v>
      </c>
      <c r="AM11" s="36">
        <v>550</v>
      </c>
      <c r="AN11" s="36">
        <f t="shared" si="1"/>
        <v>4400</v>
      </c>
    </row>
    <row r="12" spans="1:40" s="23" customFormat="1" ht="16.2" customHeight="1" x14ac:dyDescent="0.3">
      <c r="A12" s="1"/>
      <c r="B12" s="101">
        <v>8</v>
      </c>
      <c r="C12" s="110" t="s">
        <v>250</v>
      </c>
      <c r="D12" s="10"/>
      <c r="E12" s="21" t="s">
        <v>251</v>
      </c>
      <c r="F12" s="21" t="s">
        <v>252</v>
      </c>
      <c r="G12" s="10" t="s">
        <v>1</v>
      </c>
      <c r="H12" s="9" t="s">
        <v>48</v>
      </c>
      <c r="I12" s="9" t="s">
        <v>48</v>
      </c>
      <c r="J12" s="9" t="s">
        <v>48</v>
      </c>
      <c r="K12" s="9" t="s">
        <v>48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12">
        <f t="shared" si="0"/>
        <v>4</v>
      </c>
      <c r="AM12" s="36">
        <v>550</v>
      </c>
      <c r="AN12" s="36">
        <f t="shared" si="1"/>
        <v>2200</v>
      </c>
    </row>
    <row r="13" spans="1:40" s="23" customFormat="1" ht="16.2" customHeight="1" x14ac:dyDescent="0.3">
      <c r="A13" s="1"/>
      <c r="B13" s="101">
        <v>9</v>
      </c>
      <c r="C13" s="110" t="s">
        <v>330</v>
      </c>
      <c r="D13" s="10"/>
      <c r="E13" s="21" t="s">
        <v>328</v>
      </c>
      <c r="F13" s="21" t="s">
        <v>329</v>
      </c>
      <c r="G13" s="10" t="s">
        <v>1</v>
      </c>
      <c r="H13" s="9"/>
      <c r="I13" s="9"/>
      <c r="J13" s="9"/>
      <c r="K13" s="9"/>
      <c r="L13" s="9" t="s">
        <v>48</v>
      </c>
      <c r="M13" s="9" t="s">
        <v>48</v>
      </c>
      <c r="N13" s="9" t="s">
        <v>48</v>
      </c>
      <c r="O13" s="9" t="s">
        <v>48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2">
        <f t="shared" si="0"/>
        <v>4</v>
      </c>
      <c r="AM13" s="36">
        <v>550</v>
      </c>
      <c r="AN13" s="36">
        <f t="shared" si="1"/>
        <v>2200</v>
      </c>
    </row>
    <row r="14" spans="1:40" s="23" customFormat="1" ht="16.2" customHeight="1" x14ac:dyDescent="0.3">
      <c r="A14" s="1"/>
      <c r="B14" s="101">
        <v>10</v>
      </c>
      <c r="C14" s="168" t="s">
        <v>139</v>
      </c>
      <c r="D14" s="10"/>
      <c r="E14" s="20" t="s">
        <v>146</v>
      </c>
      <c r="F14" s="20" t="s">
        <v>147</v>
      </c>
      <c r="G14" s="10" t="s">
        <v>1</v>
      </c>
      <c r="H14" s="9" t="s">
        <v>48</v>
      </c>
      <c r="I14" s="9"/>
      <c r="J14" s="9"/>
      <c r="K14" s="9"/>
      <c r="L14" s="9"/>
      <c r="M14" s="9"/>
      <c r="N14" s="9" t="s">
        <v>48</v>
      </c>
      <c r="O14" s="9" t="s">
        <v>48</v>
      </c>
      <c r="P14" s="9" t="s">
        <v>48</v>
      </c>
      <c r="Q14" s="9" t="s">
        <v>48</v>
      </c>
      <c r="R14" s="9" t="s">
        <v>48</v>
      </c>
      <c r="S14" s="9" t="s">
        <v>48</v>
      </c>
      <c r="T14" s="9" t="s">
        <v>48</v>
      </c>
      <c r="U14" s="9" t="s">
        <v>48</v>
      </c>
      <c r="V14" s="9"/>
      <c r="W14" s="9"/>
      <c r="X14" s="9"/>
      <c r="Y14" s="9"/>
      <c r="Z14" s="9" t="s">
        <v>48</v>
      </c>
      <c r="AA14" s="9" t="s">
        <v>48</v>
      </c>
      <c r="AB14" s="9" t="s">
        <v>48</v>
      </c>
      <c r="AC14" s="9" t="s">
        <v>48</v>
      </c>
      <c r="AD14" s="9" t="s">
        <v>48</v>
      </c>
      <c r="AE14" s="9" t="s">
        <v>48</v>
      </c>
      <c r="AF14" s="9" t="s">
        <v>48</v>
      </c>
      <c r="AG14" s="9" t="s">
        <v>48</v>
      </c>
      <c r="AH14" s="9"/>
      <c r="AI14" s="9"/>
      <c r="AJ14" s="9"/>
      <c r="AK14" s="9"/>
      <c r="AL14" s="12">
        <f t="shared" si="0"/>
        <v>17</v>
      </c>
      <c r="AM14" s="36">
        <v>550</v>
      </c>
      <c r="AN14" s="36">
        <f t="shared" si="1"/>
        <v>9350</v>
      </c>
    </row>
    <row r="15" spans="1:40" s="23" customFormat="1" ht="16.2" customHeight="1" x14ac:dyDescent="0.3">
      <c r="A15" s="1"/>
      <c r="B15" s="101">
        <v>11</v>
      </c>
      <c r="C15" s="10" t="s">
        <v>289</v>
      </c>
      <c r="D15" s="10"/>
      <c r="E15" s="20" t="s">
        <v>229</v>
      </c>
      <c r="F15" s="20" t="s">
        <v>45</v>
      </c>
      <c r="G15" s="10" t="s">
        <v>1</v>
      </c>
      <c r="H15" s="9" t="s">
        <v>48</v>
      </c>
      <c r="I15" s="9" t="s">
        <v>48</v>
      </c>
      <c r="J15" s="9" t="s">
        <v>48</v>
      </c>
      <c r="K15" s="9" t="s">
        <v>48</v>
      </c>
      <c r="L15" s="9" t="s">
        <v>48</v>
      </c>
      <c r="M15" s="9"/>
      <c r="N15" s="9" t="s">
        <v>48</v>
      </c>
      <c r="O15" s="9" t="s">
        <v>48</v>
      </c>
      <c r="P15" s="9" t="s">
        <v>48</v>
      </c>
      <c r="Q15" s="9" t="s">
        <v>48</v>
      </c>
      <c r="R15" s="9" t="s">
        <v>48</v>
      </c>
      <c r="S15" s="9" t="s">
        <v>48</v>
      </c>
      <c r="T15" s="9" t="s">
        <v>48</v>
      </c>
      <c r="U15" s="9" t="s">
        <v>48</v>
      </c>
      <c r="V15" s="9"/>
      <c r="W15" s="9"/>
      <c r="X15" s="9"/>
      <c r="Y15" s="9"/>
      <c r="Z15" s="9" t="s">
        <v>48</v>
      </c>
      <c r="AA15" s="9" t="s">
        <v>48</v>
      </c>
      <c r="AB15" s="9" t="s">
        <v>48</v>
      </c>
      <c r="AC15" s="9" t="s">
        <v>48</v>
      </c>
      <c r="AD15" s="9" t="s">
        <v>48</v>
      </c>
      <c r="AE15" s="9" t="s">
        <v>48</v>
      </c>
      <c r="AF15" s="9" t="s">
        <v>48</v>
      </c>
      <c r="AG15" s="9" t="s">
        <v>48</v>
      </c>
      <c r="AH15" s="9"/>
      <c r="AI15" s="9"/>
      <c r="AJ15" s="9"/>
      <c r="AK15" s="9"/>
      <c r="AL15" s="12">
        <f t="shared" si="0"/>
        <v>21</v>
      </c>
      <c r="AM15" s="36">
        <v>550</v>
      </c>
      <c r="AN15" s="36">
        <f t="shared" si="1"/>
        <v>11550</v>
      </c>
    </row>
    <row r="16" spans="1:40" s="23" customFormat="1" ht="16.2" customHeight="1" x14ac:dyDescent="0.3">
      <c r="A16" s="1"/>
      <c r="B16" s="101">
        <v>12</v>
      </c>
      <c r="C16" s="10" t="s">
        <v>318</v>
      </c>
      <c r="D16" s="10"/>
      <c r="E16" s="20" t="s">
        <v>287</v>
      </c>
      <c r="F16" s="20" t="s">
        <v>288</v>
      </c>
      <c r="G16" s="10" t="s">
        <v>1</v>
      </c>
      <c r="H16" s="9" t="s">
        <v>48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12">
        <f t="shared" si="0"/>
        <v>1</v>
      </c>
      <c r="AM16" s="36">
        <v>550</v>
      </c>
      <c r="AN16" s="36">
        <f t="shared" si="1"/>
        <v>550</v>
      </c>
    </row>
    <row r="17" spans="1:40" s="23" customFormat="1" ht="16.2" customHeight="1" x14ac:dyDescent="0.3">
      <c r="A17" s="1"/>
      <c r="B17" s="101">
        <v>13</v>
      </c>
      <c r="C17" s="110" t="s">
        <v>316</v>
      </c>
      <c r="D17" s="10"/>
      <c r="E17" s="21" t="s">
        <v>314</v>
      </c>
      <c r="F17" s="21" t="s">
        <v>472</v>
      </c>
      <c r="G17" s="10" t="s">
        <v>0</v>
      </c>
      <c r="H17" s="9" t="s">
        <v>48</v>
      </c>
      <c r="I17" s="9" t="s">
        <v>48</v>
      </c>
      <c r="J17" s="9" t="s">
        <v>48</v>
      </c>
      <c r="K17" s="9" t="s">
        <v>48</v>
      </c>
      <c r="L17" s="9" t="s">
        <v>48</v>
      </c>
      <c r="M17" s="9" t="s">
        <v>48</v>
      </c>
      <c r="N17" s="9" t="s">
        <v>48</v>
      </c>
      <c r="O17" s="9"/>
      <c r="P17" s="9"/>
      <c r="Q17" s="9"/>
      <c r="R17" s="9"/>
      <c r="S17" s="9" t="s">
        <v>48</v>
      </c>
      <c r="T17" s="9" t="s">
        <v>48</v>
      </c>
      <c r="U17" s="9" t="s">
        <v>48</v>
      </c>
      <c r="V17" s="9" t="s">
        <v>48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 t="s">
        <v>48</v>
      </c>
      <c r="AJ17" s="9" t="s">
        <v>48</v>
      </c>
      <c r="AK17" s="9" t="s">
        <v>48</v>
      </c>
      <c r="AL17" s="12">
        <f t="shared" si="0"/>
        <v>14</v>
      </c>
      <c r="AM17" s="36">
        <v>600</v>
      </c>
      <c r="AN17" s="36">
        <f t="shared" si="1"/>
        <v>8400</v>
      </c>
    </row>
    <row r="18" spans="1:40" s="23" customFormat="1" ht="16.2" customHeight="1" x14ac:dyDescent="0.3">
      <c r="A18" s="1"/>
      <c r="B18" s="101">
        <v>14</v>
      </c>
      <c r="C18" s="113" t="s">
        <v>559</v>
      </c>
      <c r="D18" s="10"/>
      <c r="E18" s="20" t="s">
        <v>358</v>
      </c>
      <c r="F18" s="20" t="s">
        <v>67</v>
      </c>
      <c r="G18" s="10" t="s">
        <v>1</v>
      </c>
      <c r="H18" s="9" t="s">
        <v>48</v>
      </c>
      <c r="I18" s="9" t="s">
        <v>48</v>
      </c>
      <c r="J18" s="9" t="s">
        <v>48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2">
        <f t="shared" si="0"/>
        <v>3</v>
      </c>
      <c r="AM18" s="36">
        <v>550</v>
      </c>
      <c r="AN18" s="36">
        <f t="shared" si="1"/>
        <v>1650</v>
      </c>
    </row>
    <row r="19" spans="1:40" s="23" customFormat="1" ht="16.2" customHeight="1" x14ac:dyDescent="0.3">
      <c r="A19" s="1"/>
      <c r="B19" s="101">
        <v>15</v>
      </c>
      <c r="C19" s="10">
        <v>33585</v>
      </c>
      <c r="D19" s="10"/>
      <c r="E19" s="20" t="s">
        <v>269</v>
      </c>
      <c r="F19" s="20" t="s">
        <v>270</v>
      </c>
      <c r="G19" s="10" t="s">
        <v>1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 t="s">
        <v>48</v>
      </c>
      <c r="AK19" s="9" t="s">
        <v>48</v>
      </c>
      <c r="AL19" s="12">
        <f t="shared" si="0"/>
        <v>2</v>
      </c>
      <c r="AM19" s="36">
        <v>550</v>
      </c>
      <c r="AN19" s="36">
        <f t="shared" si="1"/>
        <v>1100</v>
      </c>
    </row>
    <row r="20" spans="1:40" s="23" customFormat="1" ht="16.2" customHeight="1" x14ac:dyDescent="0.3">
      <c r="A20" s="1"/>
      <c r="B20" s="101">
        <v>16</v>
      </c>
      <c r="C20" s="110" t="s">
        <v>463</v>
      </c>
      <c r="D20" s="10"/>
      <c r="E20" s="42" t="s">
        <v>365</v>
      </c>
      <c r="F20" s="42" t="s">
        <v>366</v>
      </c>
      <c r="G20" s="10" t="s">
        <v>1</v>
      </c>
      <c r="H20" s="91"/>
      <c r="I20" s="91"/>
      <c r="J20" s="91"/>
      <c r="K20" s="91" t="s">
        <v>48</v>
      </c>
      <c r="L20" s="91" t="s">
        <v>48</v>
      </c>
      <c r="M20" s="91" t="s">
        <v>48</v>
      </c>
      <c r="N20" s="91" t="s">
        <v>48</v>
      </c>
      <c r="O20" s="91"/>
      <c r="P20" s="91"/>
      <c r="Q20" s="91"/>
      <c r="R20" s="91"/>
      <c r="S20" s="91" t="s">
        <v>48</v>
      </c>
      <c r="T20" s="91" t="s">
        <v>48</v>
      </c>
      <c r="U20" s="91" t="s">
        <v>48</v>
      </c>
      <c r="V20" s="91" t="s">
        <v>48</v>
      </c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12">
        <f t="shared" si="0"/>
        <v>8</v>
      </c>
      <c r="AM20" s="36">
        <v>550</v>
      </c>
      <c r="AN20" s="36">
        <f t="shared" si="1"/>
        <v>4400</v>
      </c>
    </row>
    <row r="21" spans="1:40" s="23" customFormat="1" ht="16.2" customHeight="1" x14ac:dyDescent="0.3">
      <c r="A21" s="1"/>
      <c r="B21" s="101">
        <v>17</v>
      </c>
      <c r="C21" s="110" t="s">
        <v>530</v>
      </c>
      <c r="D21" s="10"/>
      <c r="E21" s="42" t="s">
        <v>528</v>
      </c>
      <c r="F21" s="42" t="s">
        <v>529</v>
      </c>
      <c r="G21" s="10" t="s">
        <v>1</v>
      </c>
      <c r="H21" s="91"/>
      <c r="I21" s="91"/>
      <c r="J21" s="91"/>
      <c r="K21" s="91" t="s">
        <v>48</v>
      </c>
      <c r="L21" s="91" t="s">
        <v>48</v>
      </c>
      <c r="M21" s="91" t="s">
        <v>48</v>
      </c>
      <c r="N21" s="91" t="s">
        <v>48</v>
      </c>
      <c r="O21" s="91"/>
      <c r="P21" s="91"/>
      <c r="Q21" s="91"/>
      <c r="R21" s="91"/>
      <c r="S21" s="91" t="s">
        <v>48</v>
      </c>
      <c r="T21" s="91" t="s">
        <v>48</v>
      </c>
      <c r="U21" s="91" t="s">
        <v>48</v>
      </c>
      <c r="V21" s="91" t="s">
        <v>48</v>
      </c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12">
        <f t="shared" si="0"/>
        <v>8</v>
      </c>
      <c r="AM21" s="36">
        <v>550</v>
      </c>
      <c r="AN21" s="36">
        <f t="shared" si="1"/>
        <v>4400</v>
      </c>
    </row>
    <row r="22" spans="1:40" s="23" customFormat="1" ht="16.2" customHeight="1" x14ac:dyDescent="0.3">
      <c r="A22" s="1"/>
      <c r="B22" s="101">
        <v>18</v>
      </c>
      <c r="C22" s="10" t="s">
        <v>430</v>
      </c>
      <c r="D22" s="10"/>
      <c r="E22" s="20" t="s">
        <v>428</v>
      </c>
      <c r="F22" s="20" t="s">
        <v>429</v>
      </c>
      <c r="G22" s="10" t="s">
        <v>1</v>
      </c>
      <c r="H22" s="9"/>
      <c r="I22" s="9"/>
      <c r="J22" s="9"/>
      <c r="K22" s="9"/>
      <c r="L22" s="9"/>
      <c r="M22" s="9"/>
      <c r="N22" s="9"/>
      <c r="O22" s="9"/>
      <c r="P22" s="9" t="s">
        <v>48</v>
      </c>
      <c r="Q22" s="9" t="s">
        <v>48</v>
      </c>
      <c r="R22" s="9" t="s">
        <v>48</v>
      </c>
      <c r="S22" s="9" t="s">
        <v>48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2">
        <f t="shared" si="0"/>
        <v>4</v>
      </c>
      <c r="AM22" s="36">
        <v>550</v>
      </c>
      <c r="AN22" s="36">
        <f t="shared" si="1"/>
        <v>2200</v>
      </c>
    </row>
    <row r="23" spans="1:40" s="23" customFormat="1" ht="16.2" customHeight="1" x14ac:dyDescent="0.3">
      <c r="A23" s="1"/>
      <c r="B23" s="101">
        <v>19</v>
      </c>
      <c r="C23" s="173" t="s">
        <v>401</v>
      </c>
      <c r="D23" s="10"/>
      <c r="E23" s="21" t="s">
        <v>399</v>
      </c>
      <c r="F23" s="21" t="s">
        <v>400</v>
      </c>
      <c r="G23" s="10" t="s">
        <v>1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">
        <v>48</v>
      </c>
      <c r="T23" s="9" t="s">
        <v>48</v>
      </c>
      <c r="U23" s="9" t="s">
        <v>48</v>
      </c>
      <c r="V23" s="9" t="s">
        <v>48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2">
        <f t="shared" si="0"/>
        <v>4</v>
      </c>
      <c r="AM23" s="36">
        <v>550</v>
      </c>
      <c r="AN23" s="36">
        <f t="shared" si="1"/>
        <v>2200</v>
      </c>
    </row>
    <row r="24" spans="1:40" s="23" customFormat="1" ht="16.2" customHeight="1" x14ac:dyDescent="0.3">
      <c r="A24" s="1"/>
      <c r="B24" s="101">
        <v>20</v>
      </c>
      <c r="C24" s="173" t="s">
        <v>140</v>
      </c>
      <c r="D24" s="10"/>
      <c r="E24" s="21" t="s">
        <v>144</v>
      </c>
      <c r="F24" s="21" t="s">
        <v>148</v>
      </c>
      <c r="G24" s="10" t="s">
        <v>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 t="s">
        <v>48</v>
      </c>
      <c r="V24" s="9" t="s">
        <v>48</v>
      </c>
      <c r="W24" s="9" t="s">
        <v>48</v>
      </c>
      <c r="X24" s="9" t="s">
        <v>48</v>
      </c>
      <c r="Y24" s="9"/>
      <c r="Z24" s="9" t="s">
        <v>48</v>
      </c>
      <c r="AA24" s="9" t="s">
        <v>48</v>
      </c>
      <c r="AB24" s="9" t="s">
        <v>48</v>
      </c>
      <c r="AC24" s="9" t="s">
        <v>48</v>
      </c>
      <c r="AD24" s="9" t="s">
        <v>48</v>
      </c>
      <c r="AE24" s="9" t="s">
        <v>48</v>
      </c>
      <c r="AF24" s="9" t="s">
        <v>48</v>
      </c>
      <c r="AG24" s="9" t="s">
        <v>48</v>
      </c>
      <c r="AH24" s="9"/>
      <c r="AI24" s="9"/>
      <c r="AJ24" s="9"/>
      <c r="AK24" s="9"/>
      <c r="AL24" s="12">
        <f t="shared" si="0"/>
        <v>12</v>
      </c>
      <c r="AM24" s="36">
        <v>550</v>
      </c>
      <c r="AN24" s="36">
        <f t="shared" si="1"/>
        <v>6600</v>
      </c>
    </row>
    <row r="25" spans="1:40" s="23" customFormat="1" ht="16.2" customHeight="1" x14ac:dyDescent="0.3">
      <c r="A25" s="1"/>
      <c r="B25" s="101">
        <v>21</v>
      </c>
      <c r="C25" s="173" t="s">
        <v>383</v>
      </c>
      <c r="D25" s="10"/>
      <c r="E25" s="21" t="s">
        <v>381</v>
      </c>
      <c r="F25" s="21" t="s">
        <v>382</v>
      </c>
      <c r="G25" s="10" t="s">
        <v>1</v>
      </c>
      <c r="H25" s="9"/>
      <c r="I25" s="9"/>
      <c r="J25" s="9"/>
      <c r="K25" s="9"/>
      <c r="L25" s="9"/>
      <c r="M25" s="9"/>
      <c r="N25" s="9" t="s">
        <v>48</v>
      </c>
      <c r="O25" s="9" t="s">
        <v>48</v>
      </c>
      <c r="P25" s="9" t="s">
        <v>48</v>
      </c>
      <c r="Q25" s="9" t="s">
        <v>48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 t="s">
        <v>48</v>
      </c>
      <c r="AG25" s="9" t="s">
        <v>48</v>
      </c>
      <c r="AH25" s="9" t="s">
        <v>48</v>
      </c>
      <c r="AI25" s="9" t="s">
        <v>48</v>
      </c>
      <c r="AJ25" s="9" t="s">
        <v>48</v>
      </c>
      <c r="AK25" s="9" t="s">
        <v>48</v>
      </c>
      <c r="AL25" s="12">
        <f t="shared" si="0"/>
        <v>10</v>
      </c>
      <c r="AM25" s="36">
        <v>550</v>
      </c>
      <c r="AN25" s="36">
        <f t="shared" si="1"/>
        <v>5500</v>
      </c>
    </row>
    <row r="26" spans="1:40" s="23" customFormat="1" ht="16.2" customHeight="1" x14ac:dyDescent="0.3">
      <c r="A26" s="1"/>
      <c r="B26" s="101">
        <v>22</v>
      </c>
      <c r="C26" s="113" t="s">
        <v>759</v>
      </c>
      <c r="D26" s="10"/>
      <c r="E26" s="21" t="s">
        <v>365</v>
      </c>
      <c r="F26" s="21" t="s">
        <v>636</v>
      </c>
      <c r="G26" s="10" t="s">
        <v>1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 t="s">
        <v>48</v>
      </c>
      <c r="AJ26" s="9" t="s">
        <v>48</v>
      </c>
      <c r="AK26" s="9" t="s">
        <v>48</v>
      </c>
      <c r="AL26" s="12">
        <f t="shared" si="0"/>
        <v>3</v>
      </c>
      <c r="AM26" s="36">
        <v>550</v>
      </c>
      <c r="AN26" s="36">
        <f t="shared" si="1"/>
        <v>1650</v>
      </c>
    </row>
    <row r="27" spans="1:40" s="23" customFormat="1" ht="16.2" customHeight="1" x14ac:dyDescent="0.3">
      <c r="A27" s="1"/>
      <c r="B27" s="101">
        <v>23</v>
      </c>
      <c r="C27" s="110">
        <v>33794</v>
      </c>
      <c r="D27" s="10"/>
      <c r="E27" s="21" t="s">
        <v>299</v>
      </c>
      <c r="F27" s="21" t="s">
        <v>620</v>
      </c>
      <c r="G27" s="9" t="s">
        <v>1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 t="s">
        <v>48</v>
      </c>
      <c r="AJ27" s="9" t="s">
        <v>48</v>
      </c>
      <c r="AK27" s="9" t="s">
        <v>48</v>
      </c>
      <c r="AL27" s="12">
        <f t="shared" si="0"/>
        <v>3</v>
      </c>
      <c r="AM27" s="36">
        <v>550</v>
      </c>
      <c r="AN27" s="36">
        <f t="shared" si="1"/>
        <v>1650</v>
      </c>
    </row>
    <row r="28" spans="1:40" s="23" customFormat="1" ht="16.2" customHeight="1" x14ac:dyDescent="0.3">
      <c r="A28" s="1"/>
      <c r="B28" s="101">
        <v>24</v>
      </c>
      <c r="C28" s="110">
        <v>34048</v>
      </c>
      <c r="D28" s="10"/>
      <c r="E28" s="21" t="s">
        <v>337</v>
      </c>
      <c r="F28" s="21" t="s">
        <v>338</v>
      </c>
      <c r="G28" s="9" t="s">
        <v>1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 t="s">
        <v>48</v>
      </c>
      <c r="AK28" s="9" t="s">
        <v>48</v>
      </c>
      <c r="AL28" s="12">
        <f t="shared" si="0"/>
        <v>2</v>
      </c>
      <c r="AM28" s="36">
        <v>550</v>
      </c>
      <c r="AN28" s="36">
        <f t="shared" si="1"/>
        <v>1100</v>
      </c>
    </row>
    <row r="29" spans="1:40" s="23" customFormat="1" ht="16.2" customHeight="1" x14ac:dyDescent="0.3">
      <c r="A29" s="1"/>
      <c r="B29" s="101">
        <v>25</v>
      </c>
      <c r="C29" s="110">
        <v>34002</v>
      </c>
      <c r="D29" s="10"/>
      <c r="E29" s="21" t="s">
        <v>319</v>
      </c>
      <c r="F29" s="21" t="s">
        <v>320</v>
      </c>
      <c r="G29" s="9" t="s">
        <v>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 t="s">
        <v>48</v>
      </c>
      <c r="AL29" s="12">
        <f t="shared" si="0"/>
        <v>1</v>
      </c>
      <c r="AM29" s="36">
        <v>550</v>
      </c>
      <c r="AN29" s="36">
        <f t="shared" si="1"/>
        <v>550</v>
      </c>
    </row>
    <row r="30" spans="1:40" s="23" customFormat="1" ht="16.2" customHeight="1" x14ac:dyDescent="0.3">
      <c r="A30" s="1"/>
      <c r="B30" s="101">
        <v>26</v>
      </c>
      <c r="C30" s="110">
        <v>34166</v>
      </c>
      <c r="D30" s="10"/>
      <c r="E30" s="21" t="s">
        <v>773</v>
      </c>
      <c r="F30" s="21" t="s">
        <v>213</v>
      </c>
      <c r="G30" s="9" t="s">
        <v>1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 t="s">
        <v>48</v>
      </c>
      <c r="AL30" s="12">
        <f t="shared" si="0"/>
        <v>1</v>
      </c>
      <c r="AM30" s="36">
        <v>550</v>
      </c>
      <c r="AN30" s="36">
        <f t="shared" si="1"/>
        <v>550</v>
      </c>
    </row>
    <row r="31" spans="1:40" s="23" customFormat="1" ht="16.2" customHeight="1" x14ac:dyDescent="0.3">
      <c r="A31" s="1"/>
      <c r="B31" s="101">
        <v>27</v>
      </c>
      <c r="C31" s="110">
        <v>33711</v>
      </c>
      <c r="D31" s="10"/>
      <c r="E31" s="21" t="s">
        <v>557</v>
      </c>
      <c r="F31" s="21" t="s">
        <v>594</v>
      </c>
      <c r="G31" s="9" t="s">
        <v>1</v>
      </c>
      <c r="H31" s="9" t="s">
        <v>48</v>
      </c>
      <c r="I31" s="9" t="s">
        <v>48</v>
      </c>
      <c r="J31" s="9" t="s">
        <v>48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12">
        <f t="shared" si="0"/>
        <v>3</v>
      </c>
      <c r="AM31" s="36">
        <v>550</v>
      </c>
      <c r="AN31" s="36">
        <f t="shared" si="1"/>
        <v>1650</v>
      </c>
    </row>
    <row r="32" spans="1:40" s="23" customFormat="1" ht="16.2" customHeight="1" x14ac:dyDescent="0.3">
      <c r="A32" s="1"/>
      <c r="B32" s="128" t="s">
        <v>15</v>
      </c>
      <c r="C32" s="128"/>
      <c r="D32" s="128"/>
      <c r="E32" s="128"/>
      <c r="F32" s="128"/>
      <c r="G32" s="128"/>
      <c r="H32" s="12">
        <f>COUNTIF(H5:H31,"P")+COUNTIF(H5:H31,"PP")+COUNTIF(H5:H31,"PP")</f>
        <v>12</v>
      </c>
      <c r="I32" s="12">
        <f t="shared" ref="I32:AK32" si="2">COUNTIF(I5:I31,"P")+COUNTIF(I5:I31,"PP")+COUNTIF(I5:I31,"PP")</f>
        <v>11</v>
      </c>
      <c r="J32" s="12">
        <f t="shared" si="2"/>
        <v>11</v>
      </c>
      <c r="K32" s="12">
        <f t="shared" si="2"/>
        <v>11</v>
      </c>
      <c r="L32" s="12">
        <f t="shared" si="2"/>
        <v>11</v>
      </c>
      <c r="M32" s="12">
        <f t="shared" si="2"/>
        <v>8</v>
      </c>
      <c r="N32" s="12">
        <f t="shared" si="2"/>
        <v>11</v>
      </c>
      <c r="O32" s="12">
        <f t="shared" si="2"/>
        <v>8</v>
      </c>
      <c r="P32" s="12">
        <f t="shared" si="2"/>
        <v>7</v>
      </c>
      <c r="Q32" s="12">
        <f t="shared" si="2"/>
        <v>7</v>
      </c>
      <c r="R32" s="12">
        <f t="shared" si="2"/>
        <v>6</v>
      </c>
      <c r="S32" s="12">
        <f t="shared" si="2"/>
        <v>10</v>
      </c>
      <c r="T32" s="12">
        <f t="shared" si="2"/>
        <v>6</v>
      </c>
      <c r="U32" s="12">
        <f t="shared" si="2"/>
        <v>7</v>
      </c>
      <c r="V32" s="12">
        <f t="shared" si="2"/>
        <v>5</v>
      </c>
      <c r="W32" s="12">
        <f t="shared" si="2"/>
        <v>1</v>
      </c>
      <c r="X32" s="12">
        <f t="shared" si="2"/>
        <v>1</v>
      </c>
      <c r="Y32" s="12">
        <f t="shared" si="2"/>
        <v>0</v>
      </c>
      <c r="Z32" s="12">
        <f t="shared" si="2"/>
        <v>3</v>
      </c>
      <c r="AA32" s="12">
        <f t="shared" si="2"/>
        <v>3</v>
      </c>
      <c r="AB32" s="12">
        <f t="shared" si="2"/>
        <v>6</v>
      </c>
      <c r="AC32" s="12">
        <f t="shared" si="2"/>
        <v>6</v>
      </c>
      <c r="AD32" s="12">
        <f t="shared" si="2"/>
        <v>7</v>
      </c>
      <c r="AE32" s="12">
        <f t="shared" si="2"/>
        <v>7</v>
      </c>
      <c r="AF32" s="12">
        <f t="shared" si="2"/>
        <v>6</v>
      </c>
      <c r="AG32" s="12">
        <f t="shared" si="2"/>
        <v>7</v>
      </c>
      <c r="AH32" s="12">
        <f t="shared" si="2"/>
        <v>3</v>
      </c>
      <c r="AI32" s="12">
        <f t="shared" si="2"/>
        <v>6</v>
      </c>
      <c r="AJ32" s="12">
        <f t="shared" si="2"/>
        <v>8</v>
      </c>
      <c r="AK32" s="12">
        <f t="shared" si="2"/>
        <v>11</v>
      </c>
      <c r="AL32" s="28">
        <f>SUM(AL5:AL31)</f>
        <v>206</v>
      </c>
      <c r="AN32" s="56">
        <f>SUM(AN5:AN31)</f>
        <v>115250</v>
      </c>
    </row>
    <row r="35" spans="1:40" ht="22.8" x14ac:dyDescent="0.3">
      <c r="B35" s="124" t="s">
        <v>14</v>
      </c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6"/>
      <c r="AM35" s="130" t="s">
        <v>471</v>
      </c>
      <c r="AN35" s="129" t="s">
        <v>468</v>
      </c>
    </row>
    <row r="36" spans="1:40" ht="18" customHeight="1" x14ac:dyDescent="0.3">
      <c r="B36" s="136" t="s">
        <v>789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0"/>
      <c r="AN36" s="129"/>
    </row>
    <row r="37" spans="1:40" s="54" customFormat="1" ht="18" customHeight="1" x14ac:dyDescent="0.2">
      <c r="A37" s="24"/>
      <c r="B37" s="46" t="s">
        <v>466</v>
      </c>
      <c r="C37" s="46" t="s">
        <v>2</v>
      </c>
      <c r="D37" s="46" t="s">
        <v>16</v>
      </c>
      <c r="E37" s="47" t="s">
        <v>3</v>
      </c>
      <c r="F37" s="47" t="s">
        <v>4</v>
      </c>
      <c r="G37" s="46" t="s">
        <v>7</v>
      </c>
      <c r="H37" s="46">
        <v>1</v>
      </c>
      <c r="I37" s="46">
        <v>2</v>
      </c>
      <c r="J37" s="46">
        <v>3</v>
      </c>
      <c r="K37" s="46">
        <v>4</v>
      </c>
      <c r="L37" s="46">
        <v>5</v>
      </c>
      <c r="M37" s="46">
        <v>6</v>
      </c>
      <c r="N37" s="46">
        <v>7</v>
      </c>
      <c r="O37" s="46">
        <v>8</v>
      </c>
      <c r="P37" s="46">
        <v>9</v>
      </c>
      <c r="Q37" s="46">
        <v>10</v>
      </c>
      <c r="R37" s="46">
        <v>11</v>
      </c>
      <c r="S37" s="46">
        <v>12</v>
      </c>
      <c r="T37" s="46">
        <v>13</v>
      </c>
      <c r="U37" s="46">
        <v>14</v>
      </c>
      <c r="V37" s="46">
        <v>15</v>
      </c>
      <c r="W37" s="46">
        <v>16</v>
      </c>
      <c r="X37" s="46">
        <v>17</v>
      </c>
      <c r="Y37" s="46">
        <v>18</v>
      </c>
      <c r="Z37" s="46">
        <v>19</v>
      </c>
      <c r="AA37" s="46">
        <v>20</v>
      </c>
      <c r="AB37" s="46">
        <v>21</v>
      </c>
      <c r="AC37" s="46">
        <v>22</v>
      </c>
      <c r="AD37" s="46">
        <v>23</v>
      </c>
      <c r="AE37" s="46">
        <v>24</v>
      </c>
      <c r="AF37" s="46">
        <v>25</v>
      </c>
      <c r="AG37" s="46">
        <v>26</v>
      </c>
      <c r="AH37" s="46">
        <v>27</v>
      </c>
      <c r="AI37" s="46">
        <v>28</v>
      </c>
      <c r="AJ37" s="46">
        <v>29</v>
      </c>
      <c r="AK37" s="46">
        <v>30</v>
      </c>
      <c r="AL37" s="48" t="s">
        <v>6</v>
      </c>
      <c r="AM37" s="130"/>
      <c r="AN37" s="129"/>
    </row>
    <row r="38" spans="1:40" s="23" customFormat="1" ht="16.2" customHeight="1" x14ac:dyDescent="0.3">
      <c r="A38" s="1"/>
      <c r="B38" s="105">
        <v>1</v>
      </c>
      <c r="C38" s="176">
        <v>33505</v>
      </c>
      <c r="D38" s="7"/>
      <c r="E38" s="19" t="s">
        <v>285</v>
      </c>
      <c r="F38" s="19" t="s">
        <v>286</v>
      </c>
      <c r="G38" s="11" t="s"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 t="s">
        <v>48</v>
      </c>
      <c r="AK38" s="9" t="s">
        <v>48</v>
      </c>
      <c r="AL38" s="12">
        <f t="shared" ref="AL38:AL64" si="3">COUNTIF(G38:AK38,"P")+COUNTIF(G38:AK38,"PP")+COUNTIF(G38:AK38,"PP")</f>
        <v>2</v>
      </c>
      <c r="AM38" s="36">
        <v>600</v>
      </c>
      <c r="AN38" s="36">
        <f>AL38*AM38</f>
        <v>1200</v>
      </c>
    </row>
    <row r="39" spans="1:40" s="23" customFormat="1" ht="16.2" customHeight="1" x14ac:dyDescent="0.3">
      <c r="A39" s="1"/>
      <c r="B39" s="105">
        <v>2</v>
      </c>
      <c r="C39" s="110" t="s">
        <v>192</v>
      </c>
      <c r="D39" s="7">
        <v>86</v>
      </c>
      <c r="E39" s="22" t="s">
        <v>193</v>
      </c>
      <c r="F39" s="22" t="s">
        <v>194</v>
      </c>
      <c r="G39" s="11" t="s">
        <v>0</v>
      </c>
      <c r="H39" s="9" t="s">
        <v>48</v>
      </c>
      <c r="I39" s="9" t="s">
        <v>48</v>
      </c>
      <c r="J39" s="9" t="s">
        <v>48</v>
      </c>
      <c r="K39" s="9" t="s">
        <v>48</v>
      </c>
      <c r="L39" s="9"/>
      <c r="M39" s="9"/>
      <c r="N39" s="9" t="s">
        <v>48</v>
      </c>
      <c r="O39" s="9" t="s">
        <v>48</v>
      </c>
      <c r="P39" s="9" t="s">
        <v>48</v>
      </c>
      <c r="Q39" s="9" t="s">
        <v>48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 t="s">
        <v>48</v>
      </c>
      <c r="AH39" s="9" t="s">
        <v>48</v>
      </c>
      <c r="AI39" s="9" t="s">
        <v>48</v>
      </c>
      <c r="AJ39" s="9" t="s">
        <v>48</v>
      </c>
      <c r="AK39" s="9" t="s">
        <v>48</v>
      </c>
      <c r="AL39" s="12">
        <f t="shared" si="3"/>
        <v>13</v>
      </c>
      <c r="AM39" s="36">
        <v>600</v>
      </c>
      <c r="AN39" s="36">
        <f t="shared" ref="AN39:AN64" si="4">AL39*AM39</f>
        <v>7800</v>
      </c>
    </row>
    <row r="40" spans="1:40" s="23" customFormat="1" ht="16.2" customHeight="1" x14ac:dyDescent="0.3">
      <c r="A40" s="1"/>
      <c r="B40" s="105">
        <v>3</v>
      </c>
      <c r="C40" s="173" t="s">
        <v>198</v>
      </c>
      <c r="D40" s="7">
        <v>36</v>
      </c>
      <c r="E40" s="22" t="s">
        <v>199</v>
      </c>
      <c r="F40" s="22" t="s">
        <v>200</v>
      </c>
      <c r="G40" s="10" t="s">
        <v>1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 t="s">
        <v>48</v>
      </c>
      <c r="V40" s="9" t="s">
        <v>48</v>
      </c>
      <c r="W40" s="9" t="s">
        <v>48</v>
      </c>
      <c r="X40" s="9" t="s">
        <v>48</v>
      </c>
      <c r="Y40" s="9" t="s">
        <v>48</v>
      </c>
      <c r="Z40" s="9" t="s">
        <v>48</v>
      </c>
      <c r="AA40" s="9" t="s">
        <v>48</v>
      </c>
      <c r="AB40" s="9" t="s">
        <v>48</v>
      </c>
      <c r="AC40" s="9"/>
      <c r="AD40" s="9"/>
      <c r="AE40" s="9"/>
      <c r="AF40" s="9"/>
      <c r="AG40" s="9" t="s">
        <v>48</v>
      </c>
      <c r="AH40" s="9" t="s">
        <v>48</v>
      </c>
      <c r="AI40" s="9" t="s">
        <v>48</v>
      </c>
      <c r="AJ40" s="9" t="s">
        <v>48</v>
      </c>
      <c r="AK40" s="9"/>
      <c r="AL40" s="12">
        <f t="shared" si="3"/>
        <v>12</v>
      </c>
      <c r="AM40" s="36">
        <v>550</v>
      </c>
      <c r="AN40" s="36">
        <f t="shared" si="4"/>
        <v>6600</v>
      </c>
    </row>
    <row r="41" spans="1:40" s="23" customFormat="1" ht="16.2" customHeight="1" x14ac:dyDescent="0.3">
      <c r="A41" s="1"/>
      <c r="B41" s="105">
        <v>4</v>
      </c>
      <c r="C41" s="110" t="s">
        <v>201</v>
      </c>
      <c r="D41" s="7"/>
      <c r="E41" s="22" t="s">
        <v>202</v>
      </c>
      <c r="F41" s="22" t="s">
        <v>117</v>
      </c>
      <c r="G41" s="10" t="s">
        <v>1</v>
      </c>
      <c r="H41" s="9"/>
      <c r="I41" s="9"/>
      <c r="J41" s="9"/>
      <c r="K41" s="9" t="s">
        <v>48</v>
      </c>
      <c r="L41" s="9" t="s">
        <v>48</v>
      </c>
      <c r="M41" s="9" t="s">
        <v>48</v>
      </c>
      <c r="N41" s="9" t="s">
        <v>48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2">
        <f t="shared" si="3"/>
        <v>8</v>
      </c>
      <c r="AM41" s="36">
        <v>550</v>
      </c>
      <c r="AN41" s="36">
        <f t="shared" si="4"/>
        <v>4400</v>
      </c>
    </row>
    <row r="42" spans="1:40" s="23" customFormat="1" ht="16.2" customHeight="1" x14ac:dyDescent="0.3">
      <c r="A42" s="1"/>
      <c r="B42" s="105">
        <v>5</v>
      </c>
      <c r="C42" s="173" t="s">
        <v>225</v>
      </c>
      <c r="D42" s="7"/>
      <c r="E42" s="22" t="s">
        <v>226</v>
      </c>
      <c r="F42" s="22" t="s">
        <v>227</v>
      </c>
      <c r="G42" s="10" t="s">
        <v>1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 t="s">
        <v>48</v>
      </c>
      <c r="V42" s="9" t="s">
        <v>48</v>
      </c>
      <c r="W42" s="9" t="s">
        <v>48</v>
      </c>
      <c r="X42" s="9" t="s">
        <v>48</v>
      </c>
      <c r="Y42" s="9" t="s">
        <v>48</v>
      </c>
      <c r="Z42" s="9" t="s">
        <v>48</v>
      </c>
      <c r="AA42" s="9" t="s">
        <v>48</v>
      </c>
      <c r="AB42" s="9" t="s">
        <v>48</v>
      </c>
      <c r="AC42" s="9"/>
      <c r="AD42" s="9"/>
      <c r="AE42" s="9"/>
      <c r="AF42" s="9"/>
      <c r="AG42" s="9"/>
      <c r="AH42" s="9"/>
      <c r="AI42" s="9"/>
      <c r="AJ42" s="9"/>
      <c r="AK42" s="9"/>
      <c r="AL42" s="12">
        <f t="shared" si="3"/>
        <v>8</v>
      </c>
      <c r="AM42" s="36">
        <v>550</v>
      </c>
      <c r="AN42" s="36">
        <f t="shared" si="4"/>
        <v>4400</v>
      </c>
    </row>
    <row r="43" spans="1:40" s="23" customFormat="1" ht="16.2" customHeight="1" x14ac:dyDescent="0.3">
      <c r="A43" s="1"/>
      <c r="B43" s="105">
        <v>6</v>
      </c>
      <c r="C43" s="173" t="s">
        <v>228</v>
      </c>
      <c r="D43" s="7"/>
      <c r="E43" s="22" t="s">
        <v>229</v>
      </c>
      <c r="F43" s="22" t="s">
        <v>93</v>
      </c>
      <c r="G43" s="10" t="s">
        <v>1</v>
      </c>
      <c r="H43" s="9" t="s">
        <v>48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12">
        <f t="shared" si="3"/>
        <v>1</v>
      </c>
      <c r="AM43" s="36">
        <v>550</v>
      </c>
      <c r="AN43" s="36">
        <f t="shared" si="4"/>
        <v>550</v>
      </c>
    </row>
    <row r="44" spans="1:40" s="23" customFormat="1" ht="16.2" customHeight="1" x14ac:dyDescent="0.3">
      <c r="A44" s="1"/>
      <c r="B44" s="105">
        <v>7</v>
      </c>
      <c r="C44" s="173" t="s">
        <v>230</v>
      </c>
      <c r="D44" s="7">
        <v>136</v>
      </c>
      <c r="E44" s="22" t="s">
        <v>231</v>
      </c>
      <c r="F44" s="22" t="s">
        <v>232</v>
      </c>
      <c r="G44" s="10" t="s">
        <v>1</v>
      </c>
      <c r="H44" s="9" t="s">
        <v>48</v>
      </c>
      <c r="I44" s="9" t="s">
        <v>48</v>
      </c>
      <c r="J44" s="9" t="s">
        <v>48</v>
      </c>
      <c r="K44" s="9" t="s">
        <v>48</v>
      </c>
      <c r="L44" s="9" t="s">
        <v>48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12">
        <f t="shared" si="3"/>
        <v>5</v>
      </c>
      <c r="AM44" s="36">
        <v>550</v>
      </c>
      <c r="AN44" s="36">
        <f t="shared" si="4"/>
        <v>2750</v>
      </c>
    </row>
    <row r="45" spans="1:40" s="23" customFormat="1" ht="16.2" customHeight="1" x14ac:dyDescent="0.3">
      <c r="A45" s="1"/>
      <c r="B45" s="105">
        <v>8</v>
      </c>
      <c r="C45" s="110" t="s">
        <v>532</v>
      </c>
      <c r="D45" s="7"/>
      <c r="E45" s="103" t="s">
        <v>531</v>
      </c>
      <c r="F45" s="103" t="s">
        <v>238</v>
      </c>
      <c r="G45" s="10" t="s">
        <v>1</v>
      </c>
      <c r="H45" s="91"/>
      <c r="I45" s="91"/>
      <c r="J45" s="91"/>
      <c r="K45" s="91" t="s">
        <v>48</v>
      </c>
      <c r="L45" s="91" t="s">
        <v>48</v>
      </c>
      <c r="M45" s="91" t="s">
        <v>48</v>
      </c>
      <c r="N45" s="91" t="s">
        <v>48</v>
      </c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12">
        <f t="shared" si="3"/>
        <v>4</v>
      </c>
      <c r="AM45" s="36">
        <v>550</v>
      </c>
      <c r="AN45" s="36">
        <f t="shared" si="4"/>
        <v>2200</v>
      </c>
    </row>
    <row r="46" spans="1:40" s="23" customFormat="1" ht="16.2" customHeight="1" x14ac:dyDescent="0.3">
      <c r="A46" s="1"/>
      <c r="B46" s="105">
        <v>9</v>
      </c>
      <c r="C46" s="10" t="s">
        <v>208</v>
      </c>
      <c r="D46" s="7"/>
      <c r="E46" s="104" t="s">
        <v>76</v>
      </c>
      <c r="F46" s="104" t="s">
        <v>209</v>
      </c>
      <c r="G46" s="10" t="s">
        <v>1</v>
      </c>
      <c r="H46" s="91"/>
      <c r="I46" s="91"/>
      <c r="J46" s="91"/>
      <c r="K46" s="91"/>
      <c r="L46" s="91" t="s">
        <v>48</v>
      </c>
      <c r="M46" s="91" t="s">
        <v>48</v>
      </c>
      <c r="N46" s="91" t="s">
        <v>48</v>
      </c>
      <c r="O46" s="91" t="s">
        <v>48</v>
      </c>
      <c r="P46" s="91" t="s">
        <v>48</v>
      </c>
      <c r="Q46" s="91" t="s">
        <v>48</v>
      </c>
      <c r="R46" s="91" t="s">
        <v>48</v>
      </c>
      <c r="S46" s="91" t="s">
        <v>48</v>
      </c>
      <c r="T46" s="91"/>
      <c r="U46" s="91"/>
      <c r="V46" s="91"/>
      <c r="W46" s="91"/>
      <c r="X46" s="91"/>
      <c r="Y46" s="91"/>
      <c r="Z46" s="91"/>
      <c r="AA46" s="91"/>
      <c r="AB46" s="91" t="s">
        <v>48</v>
      </c>
      <c r="AC46" s="91" t="s">
        <v>48</v>
      </c>
      <c r="AD46" s="91" t="s">
        <v>48</v>
      </c>
      <c r="AE46" s="91" t="s">
        <v>48</v>
      </c>
      <c r="AF46" s="91" t="s">
        <v>48</v>
      </c>
      <c r="AG46" s="91" t="s">
        <v>48</v>
      </c>
      <c r="AH46" s="91" t="s">
        <v>48</v>
      </c>
      <c r="AI46" s="91" t="s">
        <v>48</v>
      </c>
      <c r="AJ46" s="91" t="s">
        <v>48</v>
      </c>
      <c r="AK46" s="91" t="s">
        <v>48</v>
      </c>
      <c r="AL46" s="12">
        <f t="shared" si="3"/>
        <v>18</v>
      </c>
      <c r="AM46" s="36">
        <v>550</v>
      </c>
      <c r="AN46" s="36">
        <f t="shared" si="4"/>
        <v>9900</v>
      </c>
    </row>
    <row r="47" spans="1:40" s="23" customFormat="1" ht="16.2" customHeight="1" x14ac:dyDescent="0.3">
      <c r="A47" s="1"/>
      <c r="B47" s="105">
        <v>10</v>
      </c>
      <c r="C47" s="10" t="s">
        <v>603</v>
      </c>
      <c r="D47" s="7"/>
      <c r="E47" s="104" t="s">
        <v>601</v>
      </c>
      <c r="F47" s="104" t="s">
        <v>602</v>
      </c>
      <c r="G47" s="10" t="s">
        <v>1</v>
      </c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 t="s">
        <v>48</v>
      </c>
      <c r="T47" s="92" t="s">
        <v>48</v>
      </c>
      <c r="U47" s="92" t="s">
        <v>48</v>
      </c>
      <c r="V47" s="92" t="s">
        <v>48</v>
      </c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 t="s">
        <v>48</v>
      </c>
      <c r="AJ47" s="92" t="s">
        <v>48</v>
      </c>
      <c r="AK47" s="92" t="s">
        <v>48</v>
      </c>
      <c r="AL47" s="12">
        <f t="shared" si="3"/>
        <v>7</v>
      </c>
      <c r="AM47" s="36">
        <v>550</v>
      </c>
      <c r="AN47" s="36">
        <f t="shared" si="4"/>
        <v>3850</v>
      </c>
    </row>
    <row r="48" spans="1:40" s="23" customFormat="1" ht="16.2" customHeight="1" x14ac:dyDescent="0.3">
      <c r="A48" s="1"/>
      <c r="B48" s="105">
        <v>11</v>
      </c>
      <c r="C48" s="110" t="s">
        <v>453</v>
      </c>
      <c r="D48" s="7"/>
      <c r="E48" s="103" t="s">
        <v>615</v>
      </c>
      <c r="F48" s="103" t="s">
        <v>616</v>
      </c>
      <c r="G48" s="10" t="s">
        <v>1</v>
      </c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 t="s">
        <v>48</v>
      </c>
      <c r="V48" s="92" t="s">
        <v>48</v>
      </c>
      <c r="W48" s="92" t="s">
        <v>48</v>
      </c>
      <c r="X48" s="92" t="s">
        <v>48</v>
      </c>
      <c r="Y48" s="92" t="s">
        <v>48</v>
      </c>
      <c r="Z48" s="92" t="s">
        <v>48</v>
      </c>
      <c r="AA48" s="92" t="s">
        <v>48</v>
      </c>
      <c r="AB48" s="92" t="s">
        <v>48</v>
      </c>
      <c r="AC48" s="92"/>
      <c r="AD48" s="92"/>
      <c r="AE48" s="92"/>
      <c r="AF48" s="92"/>
      <c r="AG48" s="92"/>
      <c r="AH48" s="92"/>
      <c r="AI48" s="92"/>
      <c r="AJ48" s="92"/>
      <c r="AK48" s="92"/>
      <c r="AL48" s="12">
        <f t="shared" si="3"/>
        <v>8</v>
      </c>
      <c r="AM48" s="36">
        <v>550</v>
      </c>
      <c r="AN48" s="36">
        <f t="shared" si="4"/>
        <v>4400</v>
      </c>
    </row>
    <row r="49" spans="1:40" s="23" customFormat="1" ht="16.2" customHeight="1" x14ac:dyDescent="0.3">
      <c r="A49" s="1"/>
      <c r="B49" s="105">
        <v>12</v>
      </c>
      <c r="C49" s="110">
        <v>34286</v>
      </c>
      <c r="D49" s="7"/>
      <c r="E49" s="103" t="s">
        <v>596</v>
      </c>
      <c r="F49" s="103" t="s">
        <v>385</v>
      </c>
      <c r="G49" s="10" t="s">
        <v>1</v>
      </c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 t="s">
        <v>48</v>
      </c>
      <c r="AG49" s="98" t="s">
        <v>48</v>
      </c>
      <c r="AH49" s="98" t="s">
        <v>48</v>
      </c>
      <c r="AI49" s="98" t="s">
        <v>48</v>
      </c>
      <c r="AJ49" s="98"/>
      <c r="AK49" s="98"/>
      <c r="AL49" s="12">
        <f t="shared" si="3"/>
        <v>4</v>
      </c>
      <c r="AM49" s="36">
        <v>550</v>
      </c>
      <c r="AN49" s="36">
        <f t="shared" si="4"/>
        <v>2200</v>
      </c>
    </row>
    <row r="50" spans="1:40" s="23" customFormat="1" ht="16.2" customHeight="1" x14ac:dyDescent="0.3">
      <c r="A50" s="1"/>
      <c r="B50" s="105">
        <v>13</v>
      </c>
      <c r="C50" s="113" t="s">
        <v>807</v>
      </c>
      <c r="D50" s="7"/>
      <c r="E50" s="103" t="s">
        <v>772</v>
      </c>
      <c r="F50" s="103" t="s">
        <v>307</v>
      </c>
      <c r="G50" s="10" t="s">
        <v>1</v>
      </c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 t="s">
        <v>48</v>
      </c>
      <c r="AG50" s="98" t="s">
        <v>48</v>
      </c>
      <c r="AH50" s="98" t="s">
        <v>48</v>
      </c>
      <c r="AI50" s="98" t="s">
        <v>48</v>
      </c>
      <c r="AJ50" s="98"/>
      <c r="AK50" s="98"/>
      <c r="AL50" s="12">
        <f t="shared" si="3"/>
        <v>4</v>
      </c>
      <c r="AM50" s="36">
        <v>550</v>
      </c>
      <c r="AN50" s="36">
        <f t="shared" si="4"/>
        <v>2200</v>
      </c>
    </row>
    <row r="51" spans="1:40" s="23" customFormat="1" ht="16.2" customHeight="1" x14ac:dyDescent="0.3">
      <c r="A51" s="1"/>
      <c r="B51" s="105">
        <v>14</v>
      </c>
      <c r="C51" s="110">
        <v>34583</v>
      </c>
      <c r="D51" s="7"/>
      <c r="E51" s="103" t="s">
        <v>651</v>
      </c>
      <c r="F51" s="103" t="s">
        <v>652</v>
      </c>
      <c r="G51" s="10" t="s">
        <v>1</v>
      </c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 t="s">
        <v>48</v>
      </c>
      <c r="AH51" s="98" t="s">
        <v>48</v>
      </c>
      <c r="AI51" s="98" t="s">
        <v>48</v>
      </c>
      <c r="AJ51" s="98" t="s">
        <v>48</v>
      </c>
      <c r="AK51" s="98" t="s">
        <v>48</v>
      </c>
      <c r="AL51" s="12">
        <f t="shared" si="3"/>
        <v>5</v>
      </c>
      <c r="AM51" s="36">
        <v>550</v>
      </c>
      <c r="AN51" s="36">
        <f t="shared" si="4"/>
        <v>2750</v>
      </c>
    </row>
    <row r="52" spans="1:40" s="23" customFormat="1" ht="16.2" customHeight="1" x14ac:dyDescent="0.3">
      <c r="A52" s="1"/>
      <c r="B52" s="105">
        <v>15</v>
      </c>
      <c r="C52" s="113" t="s">
        <v>768</v>
      </c>
      <c r="D52" s="7"/>
      <c r="E52" s="22" t="s">
        <v>599</v>
      </c>
      <c r="F52" s="22" t="s">
        <v>600</v>
      </c>
      <c r="G52" s="10" t="s">
        <v>1</v>
      </c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 t="s">
        <v>48</v>
      </c>
      <c r="T52" s="91" t="s">
        <v>48</v>
      </c>
      <c r="U52" s="91" t="s">
        <v>48</v>
      </c>
      <c r="V52" s="91" t="s">
        <v>48</v>
      </c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 t="s">
        <v>48</v>
      </c>
      <c r="AJ52" s="91" t="s">
        <v>48</v>
      </c>
      <c r="AK52" s="91" t="s">
        <v>48</v>
      </c>
      <c r="AL52" s="12">
        <f t="shared" si="3"/>
        <v>7</v>
      </c>
      <c r="AM52" s="36">
        <v>550</v>
      </c>
      <c r="AN52" s="36">
        <f t="shared" si="4"/>
        <v>3850</v>
      </c>
    </row>
    <row r="53" spans="1:40" s="23" customFormat="1" ht="16.2" customHeight="1" x14ac:dyDescent="0.3">
      <c r="A53" s="1"/>
      <c r="B53" s="105">
        <v>16</v>
      </c>
      <c r="C53" s="110" t="s">
        <v>459</v>
      </c>
      <c r="D53" s="7"/>
      <c r="E53" s="103" t="s">
        <v>617</v>
      </c>
      <c r="F53" s="103" t="s">
        <v>371</v>
      </c>
      <c r="G53" s="10" t="s">
        <v>1</v>
      </c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 t="s">
        <v>48</v>
      </c>
      <c r="V53" s="92" t="s">
        <v>48</v>
      </c>
      <c r="W53" s="92" t="s">
        <v>48</v>
      </c>
      <c r="X53" s="92" t="s">
        <v>48</v>
      </c>
      <c r="Y53" s="92" t="s">
        <v>48</v>
      </c>
      <c r="Z53" s="92" t="s">
        <v>48</v>
      </c>
      <c r="AA53" s="92" t="s">
        <v>48</v>
      </c>
      <c r="AB53" s="92" t="s">
        <v>48</v>
      </c>
      <c r="AC53" s="92"/>
      <c r="AD53" s="92"/>
      <c r="AE53" s="92"/>
      <c r="AF53" s="92"/>
      <c r="AG53" s="92" t="s">
        <v>48</v>
      </c>
      <c r="AH53" s="92" t="s">
        <v>48</v>
      </c>
      <c r="AI53" s="92" t="s">
        <v>48</v>
      </c>
      <c r="AJ53" s="92" t="s">
        <v>48</v>
      </c>
      <c r="AK53" s="92"/>
      <c r="AL53" s="12">
        <f t="shared" si="3"/>
        <v>12</v>
      </c>
      <c r="AM53" s="36">
        <v>550</v>
      </c>
      <c r="AN53" s="36">
        <f t="shared" si="4"/>
        <v>6600</v>
      </c>
    </row>
    <row r="54" spans="1:40" s="23" customFormat="1" ht="16.2" customHeight="1" x14ac:dyDescent="0.3">
      <c r="A54" s="1"/>
      <c r="B54" s="105">
        <v>17</v>
      </c>
      <c r="C54" s="110" t="s">
        <v>595</v>
      </c>
      <c r="D54" s="7"/>
      <c r="E54" s="103" t="s">
        <v>594</v>
      </c>
      <c r="F54" s="103" t="s">
        <v>90</v>
      </c>
      <c r="G54" s="10" t="s">
        <v>1</v>
      </c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 t="s">
        <v>48</v>
      </c>
      <c r="Z54" s="92" t="s">
        <v>48</v>
      </c>
      <c r="AA54" s="92" t="s">
        <v>48</v>
      </c>
      <c r="AB54" s="92" t="s">
        <v>48</v>
      </c>
      <c r="AC54" s="92"/>
      <c r="AD54" s="92"/>
      <c r="AE54" s="92"/>
      <c r="AF54" s="92"/>
      <c r="AG54" s="92" t="s">
        <v>48</v>
      </c>
      <c r="AH54" s="92" t="s">
        <v>48</v>
      </c>
      <c r="AI54" s="92" t="s">
        <v>48</v>
      </c>
      <c r="AJ54" s="92" t="s">
        <v>48</v>
      </c>
      <c r="AK54" s="92"/>
      <c r="AL54" s="12">
        <f t="shared" si="3"/>
        <v>8</v>
      </c>
      <c r="AM54" s="36">
        <v>550</v>
      </c>
      <c r="AN54" s="36">
        <f t="shared" si="4"/>
        <v>4400</v>
      </c>
    </row>
    <row r="55" spans="1:40" s="23" customFormat="1" ht="16.2" customHeight="1" x14ac:dyDescent="0.3">
      <c r="A55" s="1"/>
      <c r="B55" s="105">
        <v>18</v>
      </c>
      <c r="C55" s="173" t="s">
        <v>619</v>
      </c>
      <c r="D55" s="7"/>
      <c r="E55" s="103" t="s">
        <v>87</v>
      </c>
      <c r="F55" s="103" t="s">
        <v>88</v>
      </c>
      <c r="G55" s="10" t="s">
        <v>1</v>
      </c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 t="s">
        <v>48</v>
      </c>
      <c r="Z55" s="92" t="s">
        <v>48</v>
      </c>
      <c r="AA55" s="92" t="s">
        <v>48</v>
      </c>
      <c r="AB55" s="92" t="s">
        <v>48</v>
      </c>
      <c r="AC55" s="92"/>
      <c r="AD55" s="92"/>
      <c r="AE55" s="92"/>
      <c r="AF55" s="92"/>
      <c r="AG55" s="92"/>
      <c r="AH55" s="92"/>
      <c r="AI55" s="92"/>
      <c r="AJ55" s="92"/>
      <c r="AK55" s="92"/>
      <c r="AL55" s="12">
        <f t="shared" si="3"/>
        <v>4</v>
      </c>
      <c r="AM55" s="36">
        <v>550</v>
      </c>
      <c r="AN55" s="36">
        <f t="shared" si="4"/>
        <v>2200</v>
      </c>
    </row>
    <row r="56" spans="1:40" s="23" customFormat="1" ht="16.2" customHeight="1" x14ac:dyDescent="0.3">
      <c r="A56" s="1"/>
      <c r="B56" s="105">
        <v>19</v>
      </c>
      <c r="C56" s="10" t="s">
        <v>553</v>
      </c>
      <c r="D56" s="7"/>
      <c r="E56" s="104" t="s">
        <v>74</v>
      </c>
      <c r="F56" s="104" t="s">
        <v>75</v>
      </c>
      <c r="G56" s="10" t="s">
        <v>1</v>
      </c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 t="s">
        <v>48</v>
      </c>
      <c r="AC56" s="95" t="s">
        <v>48</v>
      </c>
      <c r="AD56" s="95" t="s">
        <v>48</v>
      </c>
      <c r="AE56" s="95" t="s">
        <v>48</v>
      </c>
      <c r="AF56" s="95"/>
      <c r="AG56" s="95"/>
      <c r="AH56" s="95"/>
      <c r="AI56" s="95"/>
      <c r="AJ56" s="95"/>
      <c r="AK56" s="95"/>
      <c r="AL56" s="12">
        <f t="shared" si="3"/>
        <v>4</v>
      </c>
      <c r="AM56" s="36">
        <v>550</v>
      </c>
      <c r="AN56" s="36">
        <f t="shared" si="4"/>
        <v>2200</v>
      </c>
    </row>
    <row r="57" spans="1:40" s="23" customFormat="1" ht="16.2" customHeight="1" x14ac:dyDescent="0.3">
      <c r="A57" s="1"/>
      <c r="B57" s="105">
        <v>20</v>
      </c>
      <c r="C57" s="10" t="s">
        <v>650</v>
      </c>
      <c r="D57" s="7"/>
      <c r="E57" s="104" t="s">
        <v>248</v>
      </c>
      <c r="F57" s="104" t="s">
        <v>249</v>
      </c>
      <c r="G57" s="10" t="s">
        <v>1</v>
      </c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 t="s">
        <v>48</v>
      </c>
      <c r="AC57" s="95" t="s">
        <v>48</v>
      </c>
      <c r="AD57" s="95" t="s">
        <v>48</v>
      </c>
      <c r="AE57" s="95" t="s">
        <v>48</v>
      </c>
      <c r="AF57" s="95"/>
      <c r="AG57" s="95"/>
      <c r="AH57" s="95"/>
      <c r="AI57" s="95"/>
      <c r="AJ57" s="95"/>
      <c r="AK57" s="95"/>
      <c r="AL57" s="12">
        <f t="shared" si="3"/>
        <v>4</v>
      </c>
      <c r="AM57" s="36">
        <v>550</v>
      </c>
      <c r="AN57" s="36">
        <f t="shared" si="4"/>
        <v>2200</v>
      </c>
    </row>
    <row r="58" spans="1:40" s="23" customFormat="1" ht="16.2" customHeight="1" x14ac:dyDescent="0.3">
      <c r="A58" s="1"/>
      <c r="B58" s="105">
        <v>21</v>
      </c>
      <c r="C58" s="117" t="s">
        <v>639</v>
      </c>
      <c r="D58" s="7"/>
      <c r="E58" s="22" t="s">
        <v>637</v>
      </c>
      <c r="F58" s="22" t="s">
        <v>555</v>
      </c>
      <c r="G58" s="10" t="s">
        <v>1</v>
      </c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 t="s">
        <v>48</v>
      </c>
      <c r="AG58" s="92" t="s">
        <v>48</v>
      </c>
      <c r="AH58" s="92" t="s">
        <v>48</v>
      </c>
      <c r="AI58" s="92" t="s">
        <v>48</v>
      </c>
      <c r="AJ58" s="92"/>
      <c r="AK58" s="92"/>
      <c r="AL58" s="12">
        <f t="shared" si="3"/>
        <v>4</v>
      </c>
      <c r="AM58" s="36">
        <v>550</v>
      </c>
      <c r="AN58" s="36">
        <f t="shared" si="4"/>
        <v>2200</v>
      </c>
    </row>
    <row r="59" spans="1:40" s="23" customFormat="1" ht="16.2" customHeight="1" x14ac:dyDescent="0.3">
      <c r="A59" s="1"/>
      <c r="B59" s="105">
        <v>22</v>
      </c>
      <c r="C59" s="168" t="s">
        <v>233</v>
      </c>
      <c r="D59" s="7">
        <v>103</v>
      </c>
      <c r="E59" s="19" t="s">
        <v>234</v>
      </c>
      <c r="F59" s="19" t="s">
        <v>235</v>
      </c>
      <c r="G59" s="10" t="s">
        <v>1</v>
      </c>
      <c r="H59" s="9"/>
      <c r="I59" s="9"/>
      <c r="J59" s="9"/>
      <c r="K59" s="9"/>
      <c r="L59" s="9"/>
      <c r="M59" s="9"/>
      <c r="N59" s="9" t="s">
        <v>48</v>
      </c>
      <c r="O59" s="9" t="s">
        <v>48</v>
      </c>
      <c r="P59" s="9" t="s">
        <v>48</v>
      </c>
      <c r="Q59" s="9" t="s">
        <v>48</v>
      </c>
      <c r="R59" s="9"/>
      <c r="S59" s="9"/>
      <c r="T59" s="9"/>
      <c r="U59" s="9"/>
      <c r="V59" s="9"/>
      <c r="W59" s="9"/>
      <c r="X59" s="9"/>
      <c r="Y59" s="9"/>
      <c r="Z59" s="9" t="s">
        <v>48</v>
      </c>
      <c r="AA59" s="9" t="s">
        <v>48</v>
      </c>
      <c r="AB59" s="9" t="s">
        <v>48</v>
      </c>
      <c r="AC59" s="9" t="s">
        <v>48</v>
      </c>
      <c r="AD59" s="9" t="s">
        <v>48</v>
      </c>
      <c r="AE59" s="9" t="s">
        <v>48</v>
      </c>
      <c r="AF59" s="9" t="s">
        <v>48</v>
      </c>
      <c r="AG59" s="9" t="s">
        <v>48</v>
      </c>
      <c r="AH59" s="9"/>
      <c r="AI59" s="9"/>
      <c r="AJ59" s="9"/>
      <c r="AK59" s="9"/>
      <c r="AL59" s="12">
        <f t="shared" si="3"/>
        <v>12</v>
      </c>
      <c r="AM59" s="36">
        <v>550</v>
      </c>
      <c r="AN59" s="36">
        <f t="shared" si="4"/>
        <v>6600</v>
      </c>
    </row>
    <row r="60" spans="1:40" s="23" customFormat="1" ht="16.2" customHeight="1" x14ac:dyDescent="0.3">
      <c r="A60" s="1"/>
      <c r="B60" s="105">
        <v>23</v>
      </c>
      <c r="C60" s="110" t="s">
        <v>236</v>
      </c>
      <c r="D60" s="7">
        <v>52</v>
      </c>
      <c r="E60" s="22" t="s">
        <v>237</v>
      </c>
      <c r="F60" s="22" t="s">
        <v>238</v>
      </c>
      <c r="G60" s="10" t="s">
        <v>1</v>
      </c>
      <c r="H60" s="9"/>
      <c r="I60" s="9"/>
      <c r="J60" s="9"/>
      <c r="K60" s="9"/>
      <c r="L60" s="9"/>
      <c r="M60" s="9"/>
      <c r="N60" s="9" t="s">
        <v>48</v>
      </c>
      <c r="O60" s="9" t="s">
        <v>48</v>
      </c>
      <c r="P60" s="9" t="s">
        <v>48</v>
      </c>
      <c r="Q60" s="9" t="s">
        <v>48</v>
      </c>
      <c r="R60" s="9" t="s">
        <v>48</v>
      </c>
      <c r="S60" s="9" t="s">
        <v>48</v>
      </c>
      <c r="T60" s="9" t="s">
        <v>48</v>
      </c>
      <c r="U60" s="9" t="s">
        <v>48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12">
        <f t="shared" si="3"/>
        <v>8</v>
      </c>
      <c r="AM60" s="36">
        <v>550</v>
      </c>
      <c r="AN60" s="36">
        <f t="shared" si="4"/>
        <v>4400</v>
      </c>
    </row>
    <row r="61" spans="1:40" s="23" customFormat="1" ht="16.2" customHeight="1" x14ac:dyDescent="0.3">
      <c r="A61" s="1"/>
      <c r="B61" s="105">
        <v>24</v>
      </c>
      <c r="C61" s="168">
        <v>33654</v>
      </c>
      <c r="D61" s="7"/>
      <c r="E61" s="19" t="s">
        <v>149</v>
      </c>
      <c r="F61" s="19" t="s">
        <v>135</v>
      </c>
      <c r="G61" s="10" t="s">
        <v>1</v>
      </c>
      <c r="H61" s="9"/>
      <c r="I61" s="9" t="s">
        <v>48</v>
      </c>
      <c r="J61" s="9" t="s">
        <v>48</v>
      </c>
      <c r="K61" s="9" t="s">
        <v>48</v>
      </c>
      <c r="L61" s="9" t="s">
        <v>48</v>
      </c>
      <c r="M61" s="9"/>
      <c r="N61" s="9"/>
      <c r="O61" s="9"/>
      <c r="P61" s="9"/>
      <c r="Q61" s="9"/>
      <c r="R61" s="9" t="s">
        <v>48</v>
      </c>
      <c r="S61" s="9" t="s">
        <v>48</v>
      </c>
      <c r="T61" s="9" t="s">
        <v>48</v>
      </c>
      <c r="U61" s="9" t="s">
        <v>48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12">
        <f t="shared" si="3"/>
        <v>8</v>
      </c>
      <c r="AM61" s="36">
        <v>550</v>
      </c>
      <c r="AN61" s="36">
        <f t="shared" si="4"/>
        <v>4400</v>
      </c>
    </row>
    <row r="62" spans="1:40" s="23" customFormat="1" ht="16.2" customHeight="1" x14ac:dyDescent="0.3">
      <c r="A62" s="1"/>
      <c r="B62" s="105">
        <v>25</v>
      </c>
      <c r="C62" s="10">
        <v>33783</v>
      </c>
      <c r="D62" s="7"/>
      <c r="E62" s="19" t="s">
        <v>300</v>
      </c>
      <c r="F62" s="19" t="s">
        <v>135</v>
      </c>
      <c r="G62" s="9" t="s">
        <v>1</v>
      </c>
      <c r="H62" s="9"/>
      <c r="I62" s="9" t="s">
        <v>48</v>
      </c>
      <c r="J62" s="9" t="s">
        <v>48</v>
      </c>
      <c r="K62" s="9" t="s">
        <v>48</v>
      </c>
      <c r="L62" s="9" t="s">
        <v>48</v>
      </c>
      <c r="M62" s="9"/>
      <c r="N62" s="9"/>
      <c r="O62" s="9"/>
      <c r="P62" s="9"/>
      <c r="Q62" s="9"/>
      <c r="R62" s="9" t="s">
        <v>48</v>
      </c>
      <c r="S62" s="9" t="s">
        <v>48</v>
      </c>
      <c r="T62" s="9" t="s">
        <v>48</v>
      </c>
      <c r="U62" s="9" t="s">
        <v>48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12">
        <f t="shared" si="3"/>
        <v>8</v>
      </c>
      <c r="AM62" s="36">
        <v>550</v>
      </c>
      <c r="AN62" s="36">
        <f t="shared" si="4"/>
        <v>4400</v>
      </c>
    </row>
    <row r="63" spans="1:40" s="23" customFormat="1" ht="16.2" customHeight="1" x14ac:dyDescent="0.3">
      <c r="A63" s="1"/>
      <c r="B63" s="105">
        <v>26</v>
      </c>
      <c r="C63" s="173" t="s">
        <v>443</v>
      </c>
      <c r="D63" s="7"/>
      <c r="E63" s="22" t="s">
        <v>441</v>
      </c>
      <c r="F63" s="22" t="s">
        <v>442</v>
      </c>
      <c r="G63" s="9" t="s">
        <v>1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 t="s">
        <v>48</v>
      </c>
      <c r="AJ63" s="9" t="s">
        <v>48</v>
      </c>
      <c r="AK63" s="9" t="s">
        <v>48</v>
      </c>
      <c r="AL63" s="12">
        <f t="shared" si="3"/>
        <v>3</v>
      </c>
      <c r="AM63" s="36">
        <v>550</v>
      </c>
      <c r="AN63" s="36">
        <f t="shared" si="4"/>
        <v>1650</v>
      </c>
    </row>
    <row r="64" spans="1:40" s="23" customFormat="1" ht="16.2" customHeight="1" x14ac:dyDescent="0.3">
      <c r="A64" s="1"/>
      <c r="B64" s="105">
        <v>27</v>
      </c>
      <c r="C64" s="110" t="s">
        <v>447</v>
      </c>
      <c r="D64" s="7"/>
      <c r="E64" s="22" t="s">
        <v>446</v>
      </c>
      <c r="F64" s="22" t="s">
        <v>418</v>
      </c>
      <c r="G64" s="9" t="s">
        <v>1</v>
      </c>
      <c r="H64" s="9"/>
      <c r="I64" s="9"/>
      <c r="J64" s="9"/>
      <c r="K64" s="9" t="s">
        <v>48</v>
      </c>
      <c r="L64" s="9" t="s">
        <v>48</v>
      </c>
      <c r="M64" s="9" t="s">
        <v>48</v>
      </c>
      <c r="N64" s="9" t="s">
        <v>48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 t="s">
        <v>48</v>
      </c>
      <c r="AA64" s="9" t="s">
        <v>48</v>
      </c>
      <c r="AB64" s="9" t="s">
        <v>48</v>
      </c>
      <c r="AC64" s="9" t="s">
        <v>48</v>
      </c>
      <c r="AD64" s="9" t="s">
        <v>48</v>
      </c>
      <c r="AE64" s="9" t="s">
        <v>48</v>
      </c>
      <c r="AF64" s="9" t="s">
        <v>48</v>
      </c>
      <c r="AG64" s="9" t="s">
        <v>48</v>
      </c>
      <c r="AH64" s="9"/>
      <c r="AI64" s="9"/>
      <c r="AJ64" s="9"/>
      <c r="AK64" s="9"/>
      <c r="AL64" s="12">
        <f t="shared" si="3"/>
        <v>12</v>
      </c>
      <c r="AM64" s="36">
        <v>550</v>
      </c>
      <c r="AN64" s="36">
        <f t="shared" si="4"/>
        <v>6600</v>
      </c>
    </row>
    <row r="65" spans="2:40" ht="16.2" customHeight="1" x14ac:dyDescent="0.3">
      <c r="B65" s="128" t="s">
        <v>15</v>
      </c>
      <c r="C65" s="128"/>
      <c r="D65" s="128"/>
      <c r="E65" s="128"/>
      <c r="F65" s="128"/>
      <c r="G65" s="128"/>
      <c r="H65" s="12">
        <f>COUNTIF(H38:H64,"P")+COUNTIF(H38:H64,"PP")+COUNTIF(H38:H64,"PP")</f>
        <v>3</v>
      </c>
      <c r="I65" s="12">
        <f t="shared" ref="I65:AK65" si="5">COUNTIF(I38:I64,"P")+COUNTIF(I38:I64,"PP")+COUNTIF(I38:I64,"PP")</f>
        <v>4</v>
      </c>
      <c r="J65" s="12">
        <f t="shared" si="5"/>
        <v>4</v>
      </c>
      <c r="K65" s="12">
        <f t="shared" si="5"/>
        <v>7</v>
      </c>
      <c r="L65" s="12">
        <f t="shared" si="5"/>
        <v>7</v>
      </c>
      <c r="M65" s="12">
        <f t="shared" si="5"/>
        <v>4</v>
      </c>
      <c r="N65" s="12">
        <f t="shared" si="5"/>
        <v>7</v>
      </c>
      <c r="O65" s="12">
        <f t="shared" si="5"/>
        <v>4</v>
      </c>
      <c r="P65" s="12">
        <f t="shared" si="5"/>
        <v>5</v>
      </c>
      <c r="Q65" s="12">
        <f t="shared" si="5"/>
        <v>5</v>
      </c>
      <c r="R65" s="12">
        <f t="shared" si="5"/>
        <v>5</v>
      </c>
      <c r="S65" s="12">
        <f t="shared" si="5"/>
        <v>7</v>
      </c>
      <c r="T65" s="12">
        <f t="shared" si="5"/>
        <v>5</v>
      </c>
      <c r="U65" s="12">
        <f t="shared" si="5"/>
        <v>9</v>
      </c>
      <c r="V65" s="12">
        <f t="shared" si="5"/>
        <v>6</v>
      </c>
      <c r="W65" s="12">
        <f t="shared" si="5"/>
        <v>4</v>
      </c>
      <c r="X65" s="12">
        <f t="shared" si="5"/>
        <v>4</v>
      </c>
      <c r="Y65" s="12">
        <f t="shared" si="5"/>
        <v>6</v>
      </c>
      <c r="Z65" s="12">
        <f t="shared" si="5"/>
        <v>8</v>
      </c>
      <c r="AA65" s="12">
        <f t="shared" si="5"/>
        <v>8</v>
      </c>
      <c r="AB65" s="12">
        <f t="shared" si="5"/>
        <v>11</v>
      </c>
      <c r="AC65" s="12">
        <f t="shared" si="5"/>
        <v>5</v>
      </c>
      <c r="AD65" s="12">
        <f t="shared" si="5"/>
        <v>5</v>
      </c>
      <c r="AE65" s="12">
        <f t="shared" si="5"/>
        <v>5</v>
      </c>
      <c r="AF65" s="12">
        <f t="shared" si="5"/>
        <v>6</v>
      </c>
      <c r="AG65" s="12">
        <f t="shared" si="5"/>
        <v>11</v>
      </c>
      <c r="AH65" s="12">
        <f t="shared" si="5"/>
        <v>9</v>
      </c>
      <c r="AI65" s="12">
        <f t="shared" si="5"/>
        <v>12</v>
      </c>
      <c r="AJ65" s="12">
        <f t="shared" si="5"/>
        <v>10</v>
      </c>
      <c r="AK65" s="12">
        <f t="shared" si="5"/>
        <v>7</v>
      </c>
      <c r="AL65" s="28">
        <f>SUM(AL38:AL64)</f>
        <v>193</v>
      </c>
      <c r="AN65" s="37">
        <f>SUM(AN38:AN64)</f>
        <v>106900</v>
      </c>
    </row>
    <row r="67" spans="2:40" ht="18" customHeight="1" x14ac:dyDescent="0.3">
      <c r="B67" s="134" t="s">
        <v>474</v>
      </c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37">
        <f>AN32+AN65</f>
        <v>222150</v>
      </c>
    </row>
  </sheetData>
  <mergeCells count="11">
    <mergeCell ref="AM2:AM4"/>
    <mergeCell ref="AN2:AN4"/>
    <mergeCell ref="AM35:AM37"/>
    <mergeCell ref="AN35:AN37"/>
    <mergeCell ref="B67:AM67"/>
    <mergeCell ref="B65:G65"/>
    <mergeCell ref="B2:AL2"/>
    <mergeCell ref="B3:AL3"/>
    <mergeCell ref="B32:G32"/>
    <mergeCell ref="B35:AL35"/>
    <mergeCell ref="B36:AL36"/>
  </mergeCells>
  <phoneticPr fontId="12" type="noConversion"/>
  <conditionalFormatting sqref="C3">
    <cfRule type="duplicateValues" dxfId="237" priority="33"/>
  </conditionalFormatting>
  <conditionalFormatting sqref="C4">
    <cfRule type="duplicateValues" dxfId="236" priority="34"/>
  </conditionalFormatting>
  <conditionalFormatting sqref="C36">
    <cfRule type="duplicateValues" dxfId="235" priority="16"/>
  </conditionalFormatting>
  <conditionalFormatting sqref="C37">
    <cfRule type="duplicateValues" dxfId="234" priority="17"/>
  </conditionalFormatting>
  <conditionalFormatting sqref="C5:D5">
    <cfRule type="duplicateValues" dxfId="233" priority="31"/>
  </conditionalFormatting>
  <conditionalFormatting sqref="C6:D6">
    <cfRule type="duplicateValues" dxfId="232" priority="30"/>
  </conditionalFormatting>
  <conditionalFormatting sqref="C8:D8">
    <cfRule type="duplicateValues" dxfId="231" priority="22"/>
  </conditionalFormatting>
  <conditionalFormatting sqref="C9:D9">
    <cfRule type="duplicateValues" dxfId="230" priority="1"/>
  </conditionalFormatting>
  <conditionalFormatting sqref="C10:D10">
    <cfRule type="duplicateValues" dxfId="229" priority="28"/>
  </conditionalFormatting>
  <conditionalFormatting sqref="C11:D11">
    <cfRule type="duplicateValues" dxfId="228" priority="25"/>
  </conditionalFormatting>
  <conditionalFormatting sqref="C12:D12">
    <cfRule type="duplicateValues" dxfId="227" priority="27"/>
  </conditionalFormatting>
  <conditionalFormatting sqref="C13:D13">
    <cfRule type="duplicateValues" dxfId="226" priority="23"/>
  </conditionalFormatting>
  <conditionalFormatting sqref="C14:D14">
    <cfRule type="duplicateValues" dxfId="225" priority="24"/>
  </conditionalFormatting>
  <conditionalFormatting sqref="C15:D15">
    <cfRule type="duplicateValues" dxfId="224" priority="21"/>
  </conditionalFormatting>
  <conditionalFormatting sqref="C38:F38">
    <cfRule type="duplicateValues" dxfId="223" priority="14"/>
  </conditionalFormatting>
  <conditionalFormatting sqref="C39:F39">
    <cfRule type="duplicateValues" dxfId="222" priority="13"/>
  </conditionalFormatting>
  <conditionalFormatting sqref="C40:F40">
    <cfRule type="duplicateValues" dxfId="221" priority="5"/>
  </conditionalFormatting>
  <conditionalFormatting sqref="C41:F41">
    <cfRule type="duplicateValues" dxfId="220" priority="9"/>
  </conditionalFormatting>
  <conditionalFormatting sqref="C42:F42">
    <cfRule type="duplicateValues" dxfId="219" priority="8"/>
  </conditionalFormatting>
  <conditionalFormatting sqref="C43:F43">
    <cfRule type="duplicateValues" dxfId="218" priority="10"/>
  </conditionalFormatting>
  <conditionalFormatting sqref="C44:F58">
    <cfRule type="duplicateValues" dxfId="217" priority="6"/>
  </conditionalFormatting>
  <conditionalFormatting sqref="C59:F59">
    <cfRule type="duplicateValues" dxfId="216" priority="7"/>
  </conditionalFormatting>
  <conditionalFormatting sqref="C60:F60">
    <cfRule type="duplicateValues" dxfId="215" priority="4"/>
  </conditionalFormatting>
  <conditionalFormatting sqref="H3:AK31 H36:AK64">
    <cfRule type="cellIs" dxfId="214" priority="32" operator="equal">
      <formula>"a"</formula>
    </cfRule>
  </conditionalFormatting>
  <conditionalFormatting sqref="C16:D31">
    <cfRule type="duplicateValues" dxfId="213" priority="1759"/>
  </conditionalFormatting>
  <conditionalFormatting sqref="C6 C8:C31">
    <cfRule type="duplicateValues" dxfId="212" priority="1762"/>
  </conditionalFormatting>
  <conditionalFormatting sqref="C61:F64">
    <cfRule type="duplicateValues" dxfId="211" priority="1767"/>
  </conditionalFormatting>
  <conditionalFormatting sqref="C39:C64">
    <cfRule type="duplicateValues" dxfId="210" priority="177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79"/>
  <sheetViews>
    <sheetView workbookViewId="0">
      <pane xSplit="5" ySplit="4" topLeftCell="F10" activePane="bottomRight" state="frozen"/>
      <selection pane="topRight" activeCell="F1" sqref="F1"/>
      <selection pane="bottomLeft" activeCell="A5" sqref="A5"/>
      <selection pane="bottomRight" activeCell="C12" sqref="C12"/>
    </sheetView>
  </sheetViews>
  <sheetFormatPr defaultRowHeight="14.4" x14ac:dyDescent="0.3"/>
  <cols>
    <col min="1" max="1" width="3.109375" style="1" customWidth="1"/>
    <col min="2" max="2" width="5.33203125" style="1" customWidth="1"/>
    <col min="3" max="3" width="9.6640625" style="1" customWidth="1"/>
    <col min="4" max="4" width="6.88671875" style="2" customWidth="1"/>
    <col min="5" max="5" width="19.6640625" style="2" customWidth="1"/>
    <col min="6" max="6" width="19.6640625" style="1" customWidth="1"/>
    <col min="7" max="7" width="5.5546875" style="1" customWidth="1"/>
    <col min="8" max="37" width="3.6640625" style="1" customWidth="1"/>
    <col min="38" max="38" width="5" customWidth="1"/>
    <col min="39" max="39" width="8.33203125" customWidth="1"/>
    <col min="40" max="40" width="10.6640625" customWidth="1"/>
    <col min="41" max="41" width="33.33203125" customWidth="1"/>
  </cols>
  <sheetData>
    <row r="2" spans="1:41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29" t="s">
        <v>471</v>
      </c>
      <c r="AN2" s="129" t="s">
        <v>473</v>
      </c>
    </row>
    <row r="3" spans="1:41" ht="18" customHeight="1" x14ac:dyDescent="0.3">
      <c r="B3" s="136" t="s">
        <v>812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29"/>
      <c r="AN3" s="129"/>
    </row>
    <row r="4" spans="1:41" s="54" customFormat="1" ht="18" customHeight="1" x14ac:dyDescent="0.2">
      <c r="A4" s="24"/>
      <c r="B4" s="46" t="s">
        <v>5</v>
      </c>
      <c r="C4" s="46" t="s">
        <v>2</v>
      </c>
      <c r="D4" s="47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29"/>
      <c r="AN4" s="129"/>
    </row>
    <row r="5" spans="1:41" ht="18" customHeight="1" x14ac:dyDescent="0.3">
      <c r="B5" s="105">
        <v>1</v>
      </c>
      <c r="C5" s="168">
        <v>33532</v>
      </c>
      <c r="D5" s="20"/>
      <c r="E5" s="20" t="s">
        <v>243</v>
      </c>
      <c r="F5" s="20" t="s">
        <v>244</v>
      </c>
      <c r="G5" s="11" t="s">
        <v>0</v>
      </c>
      <c r="H5" s="9"/>
      <c r="I5" s="9"/>
      <c r="J5" s="9" t="s">
        <v>48</v>
      </c>
      <c r="K5" s="9" t="s">
        <v>48</v>
      </c>
      <c r="L5" s="9" t="s">
        <v>48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2">
        <f t="shared" ref="AL5:AL23" si="0">COUNTIF(H5:AK5,"p")+COUNTIF(H5:AK5,"pp")+COUNTIF(H5:AK5,"pp")</f>
        <v>3</v>
      </c>
      <c r="AM5" s="36">
        <v>750</v>
      </c>
      <c r="AN5" s="36">
        <f>AL5*AM5</f>
        <v>2250</v>
      </c>
    </row>
    <row r="6" spans="1:41" ht="18" customHeight="1" x14ac:dyDescent="0.3">
      <c r="B6" s="105">
        <v>2</v>
      </c>
      <c r="C6" s="116">
        <v>34559</v>
      </c>
      <c r="D6" s="20"/>
      <c r="E6" s="20" t="s">
        <v>710</v>
      </c>
      <c r="F6" s="20" t="s">
        <v>711</v>
      </c>
      <c r="G6" s="10" t="s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 t="s">
        <v>48</v>
      </c>
      <c r="AI6" s="9" t="s">
        <v>48</v>
      </c>
      <c r="AJ6" s="9" t="s">
        <v>48</v>
      </c>
      <c r="AK6" s="9"/>
      <c r="AL6" s="12">
        <f t="shared" si="0"/>
        <v>3</v>
      </c>
      <c r="AM6" s="36">
        <v>700</v>
      </c>
      <c r="AN6" s="36">
        <f t="shared" ref="AN6:AN23" si="1">AL6*AM6</f>
        <v>2100</v>
      </c>
    </row>
    <row r="7" spans="1:41" ht="18" customHeight="1" x14ac:dyDescent="0.3">
      <c r="B7" s="105">
        <v>3</v>
      </c>
      <c r="C7" s="75" t="s">
        <v>470</v>
      </c>
      <c r="D7" s="20"/>
      <c r="E7" s="20" t="s">
        <v>727</v>
      </c>
      <c r="F7" s="20" t="s">
        <v>728</v>
      </c>
      <c r="G7" s="10" t="s">
        <v>1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 t="s">
        <v>48</v>
      </c>
      <c r="AI7" s="9" t="s">
        <v>48</v>
      </c>
      <c r="AJ7" s="9" t="s">
        <v>48</v>
      </c>
      <c r="AK7" s="9"/>
      <c r="AL7" s="12">
        <f t="shared" si="0"/>
        <v>3</v>
      </c>
      <c r="AM7" s="36">
        <v>700</v>
      </c>
      <c r="AN7" s="36">
        <f t="shared" si="1"/>
        <v>2100</v>
      </c>
    </row>
    <row r="8" spans="1:41" ht="18" customHeight="1" x14ac:dyDescent="0.3">
      <c r="B8" s="105">
        <v>4</v>
      </c>
      <c r="C8" s="113" t="s">
        <v>760</v>
      </c>
      <c r="D8" s="20"/>
      <c r="E8" s="20" t="s">
        <v>234</v>
      </c>
      <c r="F8" s="20" t="s">
        <v>729</v>
      </c>
      <c r="G8" s="10" t="s">
        <v>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 t="s">
        <v>48</v>
      </c>
      <c r="AI8" s="9" t="s">
        <v>48</v>
      </c>
      <c r="AJ8" s="9" t="s">
        <v>48</v>
      </c>
      <c r="AK8" s="9"/>
      <c r="AL8" s="12">
        <f t="shared" si="0"/>
        <v>3</v>
      </c>
      <c r="AM8" s="36">
        <v>700</v>
      </c>
      <c r="AN8" s="36">
        <f t="shared" si="1"/>
        <v>2100</v>
      </c>
    </row>
    <row r="9" spans="1:41" ht="18" customHeight="1" x14ac:dyDescent="0.3">
      <c r="B9" s="105">
        <v>5</v>
      </c>
      <c r="C9" s="10">
        <v>33920</v>
      </c>
      <c r="D9" s="20"/>
      <c r="E9" s="20" t="s">
        <v>211</v>
      </c>
      <c r="F9" s="20" t="s">
        <v>308</v>
      </c>
      <c r="G9" s="10" t="s"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 t="s">
        <v>48</v>
      </c>
      <c r="AF9" s="9" t="s">
        <v>48</v>
      </c>
      <c r="AG9" s="9" t="s">
        <v>48</v>
      </c>
      <c r="AH9" s="9"/>
      <c r="AI9" s="9"/>
      <c r="AJ9" s="9"/>
      <c r="AK9" s="9"/>
      <c r="AL9" s="12">
        <f t="shared" si="0"/>
        <v>3</v>
      </c>
      <c r="AM9" s="36">
        <v>700</v>
      </c>
      <c r="AN9" s="36">
        <f t="shared" si="1"/>
        <v>2100</v>
      </c>
    </row>
    <row r="10" spans="1:41" ht="18" customHeight="1" x14ac:dyDescent="0.3">
      <c r="B10" s="105">
        <v>6</v>
      </c>
      <c r="C10" s="110" t="s">
        <v>311</v>
      </c>
      <c r="D10" s="20"/>
      <c r="E10" s="21" t="s">
        <v>309</v>
      </c>
      <c r="F10" s="21" t="s">
        <v>310</v>
      </c>
      <c r="G10" s="10" t="s">
        <v>1</v>
      </c>
      <c r="H10" s="9" t="s">
        <v>48</v>
      </c>
      <c r="I10" s="9" t="s">
        <v>48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 t="s">
        <v>48</v>
      </c>
      <c r="AF10" s="9" t="s">
        <v>48</v>
      </c>
      <c r="AG10" s="9" t="s">
        <v>48</v>
      </c>
      <c r="AH10" s="9"/>
      <c r="AI10" s="9"/>
      <c r="AJ10" s="9"/>
      <c r="AK10" s="9"/>
      <c r="AL10" s="12">
        <f t="shared" si="0"/>
        <v>5</v>
      </c>
      <c r="AM10" s="36">
        <v>700</v>
      </c>
      <c r="AN10" s="36">
        <f t="shared" si="1"/>
        <v>3500</v>
      </c>
    </row>
    <row r="11" spans="1:41" ht="18" customHeight="1" x14ac:dyDescent="0.3">
      <c r="B11" s="105">
        <v>7</v>
      </c>
      <c r="C11" s="110" t="s">
        <v>455</v>
      </c>
      <c r="D11" s="20"/>
      <c r="E11" s="20" t="s">
        <v>312</v>
      </c>
      <c r="F11" s="20" t="s">
        <v>65</v>
      </c>
      <c r="G11" s="10" t="s">
        <v>1</v>
      </c>
      <c r="H11" s="9" t="s">
        <v>48</v>
      </c>
      <c r="I11" s="9" t="s">
        <v>48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 t="s">
        <v>48</v>
      </c>
      <c r="AF11" s="9" t="s">
        <v>48</v>
      </c>
      <c r="AG11" s="9" t="s">
        <v>48</v>
      </c>
      <c r="AH11" s="9"/>
      <c r="AI11" s="9"/>
      <c r="AJ11" s="9"/>
      <c r="AK11" s="9"/>
      <c r="AL11" s="12">
        <f t="shared" si="0"/>
        <v>5</v>
      </c>
      <c r="AM11" s="36">
        <v>700</v>
      </c>
      <c r="AN11" s="36">
        <f t="shared" si="1"/>
        <v>3500</v>
      </c>
    </row>
    <row r="12" spans="1:41" ht="18" customHeight="1" x14ac:dyDescent="0.3">
      <c r="B12" s="105">
        <v>8</v>
      </c>
      <c r="C12" s="168">
        <v>33697</v>
      </c>
      <c r="D12" s="20"/>
      <c r="E12" s="20" t="s">
        <v>299</v>
      </c>
      <c r="F12" s="20" t="s">
        <v>313</v>
      </c>
      <c r="G12" s="9" t="s">
        <v>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 t="s">
        <v>48</v>
      </c>
      <c r="AC12" s="9" t="s">
        <v>48</v>
      </c>
      <c r="AD12" s="9" t="s">
        <v>48</v>
      </c>
      <c r="AE12" s="9"/>
      <c r="AF12" s="9"/>
      <c r="AG12" s="9"/>
      <c r="AH12" s="9"/>
      <c r="AI12" s="9"/>
      <c r="AJ12" s="9"/>
      <c r="AK12" s="9"/>
      <c r="AL12" s="12">
        <f t="shared" si="0"/>
        <v>3</v>
      </c>
      <c r="AM12" s="36">
        <v>700</v>
      </c>
      <c r="AN12" s="36">
        <f t="shared" si="1"/>
        <v>2100</v>
      </c>
    </row>
    <row r="13" spans="1:41" ht="18" customHeight="1" x14ac:dyDescent="0.3">
      <c r="B13" s="105">
        <v>9</v>
      </c>
      <c r="C13" s="166" t="s">
        <v>437</v>
      </c>
      <c r="D13" s="20"/>
      <c r="E13" s="165" t="s">
        <v>435</v>
      </c>
      <c r="F13" s="21" t="s">
        <v>436</v>
      </c>
      <c r="G13" s="9" t="s">
        <v>1</v>
      </c>
      <c r="H13" s="9"/>
      <c r="I13" s="9"/>
      <c r="J13" s="9"/>
      <c r="K13" s="9"/>
      <c r="L13" s="9"/>
      <c r="M13" s="9"/>
      <c r="N13" s="9" t="s">
        <v>48</v>
      </c>
      <c r="O13" s="9" t="s">
        <v>48</v>
      </c>
      <c r="P13" s="9" t="s">
        <v>48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2">
        <f t="shared" si="0"/>
        <v>3</v>
      </c>
      <c r="AM13" s="170">
        <v>1000</v>
      </c>
      <c r="AN13" s="36">
        <f t="shared" si="1"/>
        <v>3000</v>
      </c>
      <c r="AO13" s="167" t="s">
        <v>821</v>
      </c>
    </row>
    <row r="14" spans="1:41" ht="18" customHeight="1" x14ac:dyDescent="0.3">
      <c r="B14" s="105">
        <v>10</v>
      </c>
      <c r="C14" s="173" t="s">
        <v>355</v>
      </c>
      <c r="D14" s="20"/>
      <c r="E14" s="21" t="s">
        <v>353</v>
      </c>
      <c r="F14" s="21" t="s">
        <v>354</v>
      </c>
      <c r="G14" s="10" t="s">
        <v>1</v>
      </c>
      <c r="H14" s="9" t="s">
        <v>48</v>
      </c>
      <c r="I14" s="9" t="s">
        <v>48</v>
      </c>
      <c r="J14" s="9"/>
      <c r="K14" s="9"/>
      <c r="L14" s="9"/>
      <c r="M14" s="9"/>
      <c r="N14" s="9"/>
      <c r="O14" s="9"/>
      <c r="P14" s="9"/>
      <c r="Q14" s="9" t="s">
        <v>48</v>
      </c>
      <c r="R14" s="9" t="s">
        <v>48</v>
      </c>
      <c r="S14" s="9" t="s">
        <v>48</v>
      </c>
      <c r="T14" s="9"/>
      <c r="U14" s="9"/>
      <c r="V14" s="9"/>
      <c r="W14" s="9"/>
      <c r="X14" s="9" t="s">
        <v>48</v>
      </c>
      <c r="Y14" s="9" t="s">
        <v>48</v>
      </c>
      <c r="Z14" s="9" t="s">
        <v>48</v>
      </c>
      <c r="AA14" s="9"/>
      <c r="AB14" s="9" t="s">
        <v>48</v>
      </c>
      <c r="AC14" s="9" t="s">
        <v>48</v>
      </c>
      <c r="AD14" s="9" t="s">
        <v>48</v>
      </c>
      <c r="AE14" s="9"/>
      <c r="AF14" s="9"/>
      <c r="AG14" s="9"/>
      <c r="AH14" s="9"/>
      <c r="AI14" s="9"/>
      <c r="AJ14" s="9"/>
      <c r="AK14" s="9"/>
      <c r="AL14" s="12">
        <f t="shared" si="0"/>
        <v>11</v>
      </c>
      <c r="AM14" s="36">
        <v>700</v>
      </c>
      <c r="AN14" s="36">
        <f t="shared" si="1"/>
        <v>7700</v>
      </c>
    </row>
    <row r="15" spans="1:41" ht="18.75" customHeight="1" x14ac:dyDescent="0.3">
      <c r="B15" s="105">
        <v>11</v>
      </c>
      <c r="C15" s="110" t="s">
        <v>357</v>
      </c>
      <c r="D15" s="20"/>
      <c r="E15" s="21" t="s">
        <v>356</v>
      </c>
      <c r="F15" s="21" t="s">
        <v>105</v>
      </c>
      <c r="G15" s="10" t="s">
        <v>1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 t="s">
        <v>48</v>
      </c>
      <c r="Y15" s="9" t="s">
        <v>48</v>
      </c>
      <c r="Z15" s="9" t="s">
        <v>48</v>
      </c>
      <c r="AA15" s="9"/>
      <c r="AB15" s="9"/>
      <c r="AC15" s="9"/>
      <c r="AD15" s="9"/>
      <c r="AE15" s="9"/>
      <c r="AF15" s="9"/>
      <c r="AG15" s="9"/>
      <c r="AH15" s="9" t="s">
        <v>48</v>
      </c>
      <c r="AI15" s="9" t="s">
        <v>48</v>
      </c>
      <c r="AJ15" s="9" t="s">
        <v>48</v>
      </c>
      <c r="AK15" s="9"/>
      <c r="AL15" s="12">
        <f t="shared" si="0"/>
        <v>6</v>
      </c>
      <c r="AM15" s="36">
        <v>700</v>
      </c>
      <c r="AN15" s="36">
        <f t="shared" si="1"/>
        <v>4200</v>
      </c>
    </row>
    <row r="16" spans="1:41" ht="18" customHeight="1" x14ac:dyDescent="0.3">
      <c r="B16" s="105">
        <v>12</v>
      </c>
      <c r="C16" s="10" t="s">
        <v>389</v>
      </c>
      <c r="D16" s="20"/>
      <c r="E16" s="20" t="s">
        <v>387</v>
      </c>
      <c r="F16" s="20" t="s">
        <v>388</v>
      </c>
      <c r="G16" s="10" t="s">
        <v>1</v>
      </c>
      <c r="H16" s="9" t="s">
        <v>48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12">
        <f t="shared" si="0"/>
        <v>1</v>
      </c>
      <c r="AM16" s="36">
        <v>700</v>
      </c>
      <c r="AN16" s="36">
        <f t="shared" si="1"/>
        <v>700</v>
      </c>
    </row>
    <row r="17" spans="1:41" ht="18" customHeight="1" x14ac:dyDescent="0.3">
      <c r="B17" s="105">
        <v>13</v>
      </c>
      <c r="C17" s="110" t="s">
        <v>457</v>
      </c>
      <c r="D17" s="20"/>
      <c r="E17" s="20" t="s">
        <v>390</v>
      </c>
      <c r="F17" s="20" t="s">
        <v>247</v>
      </c>
      <c r="G17" s="10" t="s">
        <v>1</v>
      </c>
      <c r="H17" s="9" t="s">
        <v>48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2">
        <f t="shared" si="0"/>
        <v>1</v>
      </c>
      <c r="AM17" s="36">
        <v>700</v>
      </c>
      <c r="AN17" s="36">
        <f t="shared" si="1"/>
        <v>700</v>
      </c>
    </row>
    <row r="18" spans="1:41" ht="18" customHeight="1" x14ac:dyDescent="0.3">
      <c r="B18" s="105">
        <v>14</v>
      </c>
      <c r="C18" s="10" t="s">
        <v>456</v>
      </c>
      <c r="D18" s="20"/>
      <c r="E18" s="20" t="s">
        <v>391</v>
      </c>
      <c r="F18" s="20" t="s">
        <v>218</v>
      </c>
      <c r="G18" s="10" t="s">
        <v>1</v>
      </c>
      <c r="H18" s="9" t="s">
        <v>48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2">
        <f t="shared" si="0"/>
        <v>1</v>
      </c>
      <c r="AM18" s="36">
        <v>700</v>
      </c>
      <c r="AN18" s="36">
        <f t="shared" si="1"/>
        <v>700</v>
      </c>
    </row>
    <row r="19" spans="1:41" ht="18" customHeight="1" x14ac:dyDescent="0.3">
      <c r="B19" s="105">
        <v>15</v>
      </c>
      <c r="C19" s="173" t="s">
        <v>219</v>
      </c>
      <c r="D19" s="20"/>
      <c r="E19" s="21" t="s">
        <v>220</v>
      </c>
      <c r="F19" s="21" t="s">
        <v>218</v>
      </c>
      <c r="G19" s="10" t="s">
        <v>1</v>
      </c>
      <c r="H19" s="9" t="s">
        <v>48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 t="s">
        <v>48</v>
      </c>
      <c r="AI19" s="9" t="s">
        <v>48</v>
      </c>
      <c r="AJ19" s="9" t="s">
        <v>48</v>
      </c>
      <c r="AK19" s="9"/>
      <c r="AL19" s="12">
        <f t="shared" si="0"/>
        <v>4</v>
      </c>
      <c r="AM19" s="36">
        <v>700</v>
      </c>
      <c r="AN19" s="36">
        <f t="shared" si="1"/>
        <v>2800</v>
      </c>
    </row>
    <row r="20" spans="1:41" ht="18" customHeight="1" x14ac:dyDescent="0.3">
      <c r="B20" s="105">
        <v>16</v>
      </c>
      <c r="C20" s="110" t="s">
        <v>84</v>
      </c>
      <c r="D20" s="20"/>
      <c r="E20" s="21" t="s">
        <v>93</v>
      </c>
      <c r="F20" s="21" t="s">
        <v>94</v>
      </c>
      <c r="G20" s="10" t="s">
        <v>1</v>
      </c>
      <c r="H20" s="9" t="s">
        <v>48</v>
      </c>
      <c r="I20" s="9"/>
      <c r="J20" s="9" t="s">
        <v>48</v>
      </c>
      <c r="K20" s="9" t="s">
        <v>48</v>
      </c>
      <c r="L20" s="9" t="s">
        <v>48</v>
      </c>
      <c r="M20" s="9"/>
      <c r="N20" s="9"/>
      <c r="O20" s="9"/>
      <c r="P20" s="9"/>
      <c r="Q20" s="9"/>
      <c r="R20" s="9"/>
      <c r="S20" s="9"/>
      <c r="T20" s="9" t="s">
        <v>48</v>
      </c>
      <c r="U20" s="9" t="s">
        <v>48</v>
      </c>
      <c r="V20" s="9" t="s">
        <v>48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12">
        <f t="shared" si="0"/>
        <v>7</v>
      </c>
      <c r="AM20" s="36">
        <v>700</v>
      </c>
      <c r="AN20" s="36">
        <f t="shared" si="1"/>
        <v>4900</v>
      </c>
    </row>
    <row r="21" spans="1:41" ht="18" customHeight="1" x14ac:dyDescent="0.3">
      <c r="B21" s="105">
        <v>17</v>
      </c>
      <c r="C21" s="171" t="s">
        <v>822</v>
      </c>
      <c r="D21" s="20"/>
      <c r="E21" s="162" t="s">
        <v>396</v>
      </c>
      <c r="F21" s="20" t="s">
        <v>397</v>
      </c>
      <c r="G21" s="9" t="s">
        <v>1</v>
      </c>
      <c r="H21" s="9" t="s">
        <v>48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2">
        <f t="shared" si="0"/>
        <v>1</v>
      </c>
      <c r="AM21" s="170">
        <v>1000</v>
      </c>
      <c r="AN21" s="36">
        <f t="shared" si="1"/>
        <v>1000</v>
      </c>
      <c r="AO21" s="167" t="s">
        <v>821</v>
      </c>
    </row>
    <row r="22" spans="1:41" ht="18" customHeight="1" x14ac:dyDescent="0.3">
      <c r="B22" s="105">
        <v>18</v>
      </c>
      <c r="C22" s="10" t="s">
        <v>321</v>
      </c>
      <c r="D22" s="20"/>
      <c r="E22" s="20" t="s">
        <v>319</v>
      </c>
      <c r="F22" s="20" t="s">
        <v>320</v>
      </c>
      <c r="G22" s="9" t="s">
        <v>1</v>
      </c>
      <c r="H22" s="9" t="s">
        <v>48</v>
      </c>
      <c r="I22" s="9" t="s">
        <v>48</v>
      </c>
      <c r="J22" s="9"/>
      <c r="K22" s="9"/>
      <c r="L22" s="9"/>
      <c r="M22" s="9"/>
      <c r="N22" s="9" t="s">
        <v>48</v>
      </c>
      <c r="O22" s="9" t="s">
        <v>48</v>
      </c>
      <c r="P22" s="9" t="s">
        <v>48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2">
        <f t="shared" si="0"/>
        <v>5</v>
      </c>
      <c r="AM22" s="36">
        <v>700</v>
      </c>
      <c r="AN22" s="36">
        <f t="shared" si="1"/>
        <v>3500</v>
      </c>
    </row>
    <row r="23" spans="1:41" ht="18" customHeight="1" x14ac:dyDescent="0.3">
      <c r="B23" s="105">
        <v>19</v>
      </c>
      <c r="C23" s="173" t="s">
        <v>352</v>
      </c>
      <c r="D23" s="20"/>
      <c r="E23" s="21" t="s">
        <v>350</v>
      </c>
      <c r="F23" s="21" t="s">
        <v>351</v>
      </c>
      <c r="G23" s="9" t="s">
        <v>1</v>
      </c>
      <c r="H23" s="9" t="s">
        <v>48</v>
      </c>
      <c r="I23" s="9" t="s">
        <v>48</v>
      </c>
      <c r="J23" s="9"/>
      <c r="K23" s="9"/>
      <c r="L23" s="9"/>
      <c r="M23" s="9" t="s">
        <v>48</v>
      </c>
      <c r="N23" s="9" t="s">
        <v>48</v>
      </c>
      <c r="O23" s="9" t="s">
        <v>48</v>
      </c>
      <c r="P23" s="9"/>
      <c r="Q23" s="9"/>
      <c r="R23" s="9"/>
      <c r="S23" s="9"/>
      <c r="T23" s="9"/>
      <c r="U23" s="9"/>
      <c r="V23" s="9"/>
      <c r="W23" s="9"/>
      <c r="X23" s="9" t="s">
        <v>48</v>
      </c>
      <c r="Y23" s="9" t="s">
        <v>48</v>
      </c>
      <c r="Z23" s="9" t="s">
        <v>48</v>
      </c>
      <c r="AA23" s="9"/>
      <c r="AB23" s="9" t="s">
        <v>48</v>
      </c>
      <c r="AC23" s="9" t="s">
        <v>48</v>
      </c>
      <c r="AD23" s="9" t="s">
        <v>48</v>
      </c>
      <c r="AE23" s="9"/>
      <c r="AF23" s="9"/>
      <c r="AG23" s="9"/>
      <c r="AH23" s="9"/>
      <c r="AI23" s="9"/>
      <c r="AJ23" s="9"/>
      <c r="AK23" s="9"/>
      <c r="AL23" s="12">
        <f t="shared" si="0"/>
        <v>11</v>
      </c>
      <c r="AM23" s="36">
        <v>700</v>
      </c>
      <c r="AN23" s="36">
        <f t="shared" si="1"/>
        <v>7700</v>
      </c>
    </row>
    <row r="24" spans="1:41" ht="18" customHeight="1" x14ac:dyDescent="0.3">
      <c r="B24" s="128" t="s">
        <v>15</v>
      </c>
      <c r="C24" s="128"/>
      <c r="D24" s="128"/>
      <c r="E24" s="128"/>
      <c r="F24" s="128"/>
      <c r="G24" s="128"/>
      <c r="H24" s="12">
        <f t="shared" ref="H24:AK24" si="2">COUNTIF(H5:H23,"P")+COUNTIF(H5:H23,"PP")+COUNTIF(H5:H23,"PP")</f>
        <v>11</v>
      </c>
      <c r="I24" s="12">
        <f t="shared" si="2"/>
        <v>5</v>
      </c>
      <c r="J24" s="12">
        <f t="shared" si="2"/>
        <v>2</v>
      </c>
      <c r="K24" s="12">
        <f t="shared" si="2"/>
        <v>2</v>
      </c>
      <c r="L24" s="12">
        <f t="shared" si="2"/>
        <v>2</v>
      </c>
      <c r="M24" s="12">
        <f t="shared" si="2"/>
        <v>1</v>
      </c>
      <c r="N24" s="12">
        <f t="shared" si="2"/>
        <v>3</v>
      </c>
      <c r="O24" s="12">
        <f t="shared" si="2"/>
        <v>3</v>
      </c>
      <c r="P24" s="12">
        <f t="shared" si="2"/>
        <v>2</v>
      </c>
      <c r="Q24" s="12">
        <f t="shared" si="2"/>
        <v>1</v>
      </c>
      <c r="R24" s="12">
        <f t="shared" si="2"/>
        <v>1</v>
      </c>
      <c r="S24" s="12">
        <f t="shared" si="2"/>
        <v>1</v>
      </c>
      <c r="T24" s="12">
        <f t="shared" si="2"/>
        <v>1</v>
      </c>
      <c r="U24" s="12">
        <f t="shared" si="2"/>
        <v>1</v>
      </c>
      <c r="V24" s="12">
        <f t="shared" si="2"/>
        <v>1</v>
      </c>
      <c r="W24" s="12">
        <f t="shared" si="2"/>
        <v>0</v>
      </c>
      <c r="X24" s="12">
        <f t="shared" si="2"/>
        <v>3</v>
      </c>
      <c r="Y24" s="12">
        <f t="shared" si="2"/>
        <v>3</v>
      </c>
      <c r="Z24" s="12">
        <f t="shared" si="2"/>
        <v>3</v>
      </c>
      <c r="AA24" s="12">
        <f t="shared" si="2"/>
        <v>0</v>
      </c>
      <c r="AB24" s="12">
        <f t="shared" si="2"/>
        <v>3</v>
      </c>
      <c r="AC24" s="12">
        <f t="shared" si="2"/>
        <v>3</v>
      </c>
      <c r="AD24" s="12">
        <f t="shared" si="2"/>
        <v>3</v>
      </c>
      <c r="AE24" s="12">
        <f t="shared" si="2"/>
        <v>3</v>
      </c>
      <c r="AF24" s="12">
        <f t="shared" si="2"/>
        <v>3</v>
      </c>
      <c r="AG24" s="12">
        <f t="shared" si="2"/>
        <v>3</v>
      </c>
      <c r="AH24" s="12">
        <f t="shared" si="2"/>
        <v>5</v>
      </c>
      <c r="AI24" s="12">
        <f t="shared" si="2"/>
        <v>5</v>
      </c>
      <c r="AJ24" s="12">
        <f t="shared" si="2"/>
        <v>5</v>
      </c>
      <c r="AK24" s="12">
        <f t="shared" si="2"/>
        <v>0</v>
      </c>
      <c r="AL24" s="27">
        <f>SUM(AL5:AL23)</f>
        <v>79</v>
      </c>
      <c r="AN24" s="37">
        <f>SUM(AN5:AN23)</f>
        <v>56650</v>
      </c>
    </row>
    <row r="27" spans="1:41" ht="22.8" x14ac:dyDescent="0.3">
      <c r="B27" s="124" t="s">
        <v>14</v>
      </c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6"/>
      <c r="AM27" s="130" t="s">
        <v>471</v>
      </c>
      <c r="AN27" s="129" t="s">
        <v>468</v>
      </c>
    </row>
    <row r="28" spans="1:41" ht="18" customHeight="1" x14ac:dyDescent="0.3">
      <c r="B28" s="136" t="s">
        <v>811</v>
      </c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0"/>
      <c r="AN28" s="129"/>
    </row>
    <row r="29" spans="1:41" s="54" customFormat="1" ht="18" customHeight="1" x14ac:dyDescent="0.2">
      <c r="A29" s="24"/>
      <c r="B29" s="46" t="s">
        <v>466</v>
      </c>
      <c r="C29" s="46" t="s">
        <v>2</v>
      </c>
      <c r="D29" s="47" t="s">
        <v>16</v>
      </c>
      <c r="E29" s="47" t="s">
        <v>3</v>
      </c>
      <c r="F29" s="47" t="s">
        <v>4</v>
      </c>
      <c r="G29" s="46" t="s">
        <v>7</v>
      </c>
      <c r="H29" s="46">
        <v>1</v>
      </c>
      <c r="I29" s="46">
        <v>2</v>
      </c>
      <c r="J29" s="46">
        <v>3</v>
      </c>
      <c r="K29" s="46">
        <v>4</v>
      </c>
      <c r="L29" s="46">
        <v>5</v>
      </c>
      <c r="M29" s="46">
        <v>6</v>
      </c>
      <c r="N29" s="46">
        <v>7</v>
      </c>
      <c r="O29" s="46">
        <v>8</v>
      </c>
      <c r="P29" s="46">
        <v>9</v>
      </c>
      <c r="Q29" s="46">
        <v>10</v>
      </c>
      <c r="R29" s="46">
        <v>11</v>
      </c>
      <c r="S29" s="46">
        <v>12</v>
      </c>
      <c r="T29" s="46">
        <v>13</v>
      </c>
      <c r="U29" s="46">
        <v>14</v>
      </c>
      <c r="V29" s="46">
        <v>15</v>
      </c>
      <c r="W29" s="46">
        <v>16</v>
      </c>
      <c r="X29" s="46">
        <v>17</v>
      </c>
      <c r="Y29" s="46">
        <v>18</v>
      </c>
      <c r="Z29" s="46">
        <v>19</v>
      </c>
      <c r="AA29" s="46">
        <v>20</v>
      </c>
      <c r="AB29" s="46">
        <v>21</v>
      </c>
      <c r="AC29" s="46">
        <v>22</v>
      </c>
      <c r="AD29" s="46">
        <v>23</v>
      </c>
      <c r="AE29" s="46">
        <v>24</v>
      </c>
      <c r="AF29" s="46">
        <v>25</v>
      </c>
      <c r="AG29" s="46">
        <v>26</v>
      </c>
      <c r="AH29" s="46">
        <v>27</v>
      </c>
      <c r="AI29" s="46">
        <v>28</v>
      </c>
      <c r="AJ29" s="46">
        <v>29</v>
      </c>
      <c r="AK29" s="46">
        <v>30</v>
      </c>
      <c r="AL29" s="48" t="s">
        <v>6</v>
      </c>
      <c r="AM29" s="130"/>
      <c r="AN29" s="129"/>
    </row>
    <row r="30" spans="1:41" ht="18" customHeight="1" x14ac:dyDescent="0.3">
      <c r="B30" s="105">
        <v>1</v>
      </c>
      <c r="C30" s="176">
        <v>33516</v>
      </c>
      <c r="D30" s="43"/>
      <c r="E30" s="43" t="s">
        <v>241</v>
      </c>
      <c r="F30" s="43" t="s">
        <v>242</v>
      </c>
      <c r="G30" s="11" t="s">
        <v>0</v>
      </c>
      <c r="H30" s="9" t="s">
        <v>48</v>
      </c>
      <c r="I30" s="9"/>
      <c r="J30" s="9" t="s">
        <v>48</v>
      </c>
      <c r="K30" s="9" t="s">
        <v>48</v>
      </c>
      <c r="L30" s="9" t="s">
        <v>48</v>
      </c>
      <c r="M30" s="9"/>
      <c r="N30" s="9" t="s">
        <v>48</v>
      </c>
      <c r="O30" s="9" t="s">
        <v>48</v>
      </c>
      <c r="P30" s="9" t="s">
        <v>48</v>
      </c>
      <c r="Q30" s="9"/>
      <c r="R30" s="9"/>
      <c r="S30" s="9"/>
      <c r="T30" s="9" t="s">
        <v>48</v>
      </c>
      <c r="U30" s="9" t="s">
        <v>48</v>
      </c>
      <c r="V30" s="9" t="s">
        <v>48</v>
      </c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12">
        <f>COUNTIF(H30:AK30,"p")+COUNTIF(H30:AK30,"pp")+COUNTIF(H30:AK30,"pp")</f>
        <v>10</v>
      </c>
      <c r="AM30" s="57">
        <v>750</v>
      </c>
      <c r="AN30" s="36">
        <f>AL30*AM30</f>
        <v>7500</v>
      </c>
    </row>
    <row r="31" spans="1:41" ht="18" customHeight="1" x14ac:dyDescent="0.3">
      <c r="B31" s="105">
        <v>2</v>
      </c>
      <c r="C31" s="168" t="s">
        <v>55</v>
      </c>
      <c r="D31" s="43"/>
      <c r="E31" s="43" t="s">
        <v>62</v>
      </c>
      <c r="F31" s="43" t="s">
        <v>63</v>
      </c>
      <c r="G31" s="11" t="s">
        <v>0</v>
      </c>
      <c r="H31" s="9" t="s">
        <v>48</v>
      </c>
      <c r="I31" s="9" t="s">
        <v>48</v>
      </c>
      <c r="J31" s="9"/>
      <c r="K31" s="9"/>
      <c r="L31" s="9"/>
      <c r="M31" s="9" t="s">
        <v>48</v>
      </c>
      <c r="N31" s="9" t="s">
        <v>48</v>
      </c>
      <c r="O31" s="9" t="s">
        <v>48</v>
      </c>
      <c r="P31" s="9"/>
      <c r="Q31" s="9"/>
      <c r="R31" s="9"/>
      <c r="S31" s="9"/>
      <c r="T31" s="9"/>
      <c r="U31" s="9"/>
      <c r="V31" s="9"/>
      <c r="W31" s="9"/>
      <c r="X31" s="9" t="s">
        <v>48</v>
      </c>
      <c r="Y31" s="9" t="s">
        <v>48</v>
      </c>
      <c r="Z31" s="9" t="s">
        <v>48</v>
      </c>
      <c r="AA31" s="9"/>
      <c r="AB31" s="9" t="s">
        <v>48</v>
      </c>
      <c r="AC31" s="9" t="s">
        <v>48</v>
      </c>
      <c r="AD31" s="9" t="s">
        <v>48</v>
      </c>
      <c r="AE31" s="9"/>
      <c r="AF31" s="9"/>
      <c r="AG31" s="9"/>
      <c r="AH31" s="9" t="s">
        <v>48</v>
      </c>
      <c r="AI31" s="9" t="s">
        <v>48</v>
      </c>
      <c r="AJ31" s="9" t="s">
        <v>48</v>
      </c>
      <c r="AK31" s="9"/>
      <c r="AL31" s="12">
        <f t="shared" ref="AL31:AL75" si="3">COUNTIF(H31:AK31,"p")+COUNTIF(H31:AK31,"pp")+COUNTIF(H31:AK31,"pp")</f>
        <v>14</v>
      </c>
      <c r="AM31" s="57">
        <v>750</v>
      </c>
      <c r="AN31" s="36">
        <f t="shared" ref="AN31:AN75" si="4">AL31*AM31</f>
        <v>10500</v>
      </c>
    </row>
    <row r="32" spans="1:41" ht="18" customHeight="1" x14ac:dyDescent="0.3">
      <c r="B32" s="108">
        <v>3</v>
      </c>
      <c r="C32" s="110" t="s">
        <v>666</v>
      </c>
      <c r="D32" s="43"/>
      <c r="E32" s="43" t="s">
        <v>540</v>
      </c>
      <c r="F32" s="43" t="s">
        <v>541</v>
      </c>
      <c r="G32" s="11" t="s">
        <v>0</v>
      </c>
      <c r="H32" s="91"/>
      <c r="I32" s="91"/>
      <c r="J32" s="91"/>
      <c r="K32" s="91"/>
      <c r="L32" s="91"/>
      <c r="M32" s="91"/>
      <c r="N32" s="91" t="s">
        <v>48</v>
      </c>
      <c r="O32" s="91" t="s">
        <v>48</v>
      </c>
      <c r="P32" s="91" t="s">
        <v>48</v>
      </c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12">
        <f t="shared" si="3"/>
        <v>3</v>
      </c>
      <c r="AM32" s="57">
        <v>750</v>
      </c>
      <c r="AN32" s="36">
        <f t="shared" si="4"/>
        <v>2250</v>
      </c>
    </row>
    <row r="33" spans="2:41" ht="18" customHeight="1" x14ac:dyDescent="0.3">
      <c r="B33" s="108">
        <v>4</v>
      </c>
      <c r="C33" s="171" t="s">
        <v>822</v>
      </c>
      <c r="D33" s="43"/>
      <c r="E33" s="164" t="s">
        <v>544</v>
      </c>
      <c r="F33" s="43" t="s">
        <v>545</v>
      </c>
      <c r="G33" s="10" t="s">
        <v>1</v>
      </c>
      <c r="H33" s="91"/>
      <c r="I33" s="91"/>
      <c r="J33" s="91"/>
      <c r="K33" s="91"/>
      <c r="L33" s="91"/>
      <c r="M33" s="91"/>
      <c r="N33" s="91" t="s">
        <v>48</v>
      </c>
      <c r="O33" s="91" t="s">
        <v>48</v>
      </c>
      <c r="P33" s="91" t="s">
        <v>48</v>
      </c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12">
        <f t="shared" si="3"/>
        <v>3</v>
      </c>
      <c r="AM33" s="57">
        <v>1000</v>
      </c>
      <c r="AN33" s="36">
        <f t="shared" si="4"/>
        <v>3000</v>
      </c>
      <c r="AO33" s="167" t="s">
        <v>821</v>
      </c>
    </row>
    <row r="34" spans="2:41" ht="18" customHeight="1" x14ac:dyDescent="0.3">
      <c r="B34" s="108">
        <v>5</v>
      </c>
      <c r="C34" s="10" t="s">
        <v>56</v>
      </c>
      <c r="D34" s="43"/>
      <c r="E34" s="43" t="s">
        <v>64</v>
      </c>
      <c r="F34" s="43" t="s">
        <v>65</v>
      </c>
      <c r="G34" s="10" t="s">
        <v>1</v>
      </c>
      <c r="H34" s="9"/>
      <c r="I34" s="9"/>
      <c r="J34" s="9" t="s">
        <v>48</v>
      </c>
      <c r="K34" s="9" t="s">
        <v>48</v>
      </c>
      <c r="L34" s="9" t="s">
        <v>48</v>
      </c>
      <c r="M34" s="9"/>
      <c r="N34" s="9" t="s">
        <v>48</v>
      </c>
      <c r="O34" s="9" t="s">
        <v>48</v>
      </c>
      <c r="P34" s="9" t="s">
        <v>48</v>
      </c>
      <c r="Q34" s="9"/>
      <c r="R34" s="9"/>
      <c r="S34" s="9"/>
      <c r="T34" s="9" t="s">
        <v>48</v>
      </c>
      <c r="U34" s="9" t="s">
        <v>48</v>
      </c>
      <c r="V34" s="9" t="s">
        <v>48</v>
      </c>
      <c r="W34" s="9"/>
      <c r="X34" s="9"/>
      <c r="Y34" s="9"/>
      <c r="Z34" s="9"/>
      <c r="AA34" s="9" t="s">
        <v>48</v>
      </c>
      <c r="AB34" s="9" t="s">
        <v>48</v>
      </c>
      <c r="AC34" s="9" t="s">
        <v>48</v>
      </c>
      <c r="AD34" s="118" t="s">
        <v>48</v>
      </c>
      <c r="AE34" s="9"/>
      <c r="AF34" s="9"/>
      <c r="AG34" s="9"/>
      <c r="AH34" s="9"/>
      <c r="AI34" s="9"/>
      <c r="AJ34" s="9"/>
      <c r="AK34" s="9"/>
      <c r="AL34" s="12">
        <f t="shared" si="3"/>
        <v>13</v>
      </c>
      <c r="AM34" s="57">
        <v>700</v>
      </c>
      <c r="AN34" s="36">
        <f t="shared" si="4"/>
        <v>9100</v>
      </c>
    </row>
    <row r="35" spans="2:41" ht="18" customHeight="1" x14ac:dyDescent="0.3">
      <c r="B35" s="108">
        <v>6</v>
      </c>
      <c r="C35" s="110" t="s">
        <v>57</v>
      </c>
      <c r="D35" s="43"/>
      <c r="E35" s="42" t="s">
        <v>66</v>
      </c>
      <c r="F35" s="42" t="s">
        <v>67</v>
      </c>
      <c r="G35" s="10" t="s">
        <v>1</v>
      </c>
      <c r="H35" s="9" t="s">
        <v>48</v>
      </c>
      <c r="I35" s="9" t="s">
        <v>48</v>
      </c>
      <c r="J35" s="9"/>
      <c r="K35" s="9"/>
      <c r="L35" s="9"/>
      <c r="M35" s="9" t="s">
        <v>48</v>
      </c>
      <c r="N35" s="9" t="s">
        <v>48</v>
      </c>
      <c r="O35" s="9" t="s">
        <v>48</v>
      </c>
      <c r="P35" s="9"/>
      <c r="Q35" s="9"/>
      <c r="R35" s="9"/>
      <c r="S35" s="9"/>
      <c r="T35" s="9"/>
      <c r="U35" s="9"/>
      <c r="V35" s="9"/>
      <c r="W35" s="9"/>
      <c r="X35" s="9" t="s">
        <v>48</v>
      </c>
      <c r="Y35" s="9" t="s">
        <v>48</v>
      </c>
      <c r="Z35" s="9" t="s">
        <v>48</v>
      </c>
      <c r="AA35" s="9"/>
      <c r="AB35" s="9" t="s">
        <v>48</v>
      </c>
      <c r="AC35" s="9" t="s">
        <v>48</v>
      </c>
      <c r="AD35" s="9" t="s">
        <v>48</v>
      </c>
      <c r="AE35" s="9"/>
      <c r="AF35" s="9"/>
      <c r="AG35" s="9"/>
      <c r="AH35" s="9" t="s">
        <v>48</v>
      </c>
      <c r="AI35" s="9" t="s">
        <v>48</v>
      </c>
      <c r="AJ35" s="9" t="s">
        <v>48</v>
      </c>
      <c r="AK35" s="9"/>
      <c r="AL35" s="12">
        <f t="shared" si="3"/>
        <v>14</v>
      </c>
      <c r="AM35" s="57">
        <v>700</v>
      </c>
      <c r="AN35" s="36">
        <f t="shared" si="4"/>
        <v>9800</v>
      </c>
    </row>
    <row r="36" spans="2:41" ht="18" customHeight="1" x14ac:dyDescent="0.3">
      <c r="B36" s="108">
        <v>7</v>
      </c>
      <c r="C36" s="10" t="s">
        <v>58</v>
      </c>
      <c r="D36" s="43"/>
      <c r="E36" s="43" t="s">
        <v>68</v>
      </c>
      <c r="F36" s="43" t="s">
        <v>69</v>
      </c>
      <c r="G36" s="10" t="s">
        <v>1</v>
      </c>
      <c r="H36" s="9" t="s">
        <v>48</v>
      </c>
      <c r="I36" s="9" t="s">
        <v>48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 t="s">
        <v>48</v>
      </c>
      <c r="V36" s="9" t="s">
        <v>48</v>
      </c>
      <c r="W36" s="9" t="s">
        <v>48</v>
      </c>
      <c r="X36" s="118" t="s">
        <v>48</v>
      </c>
      <c r="Y36" s="9"/>
      <c r="Z36" s="9"/>
      <c r="AA36" s="9"/>
      <c r="AB36" s="9" t="s">
        <v>48</v>
      </c>
      <c r="AC36" s="9" t="s">
        <v>48</v>
      </c>
      <c r="AD36" s="9" t="s">
        <v>48</v>
      </c>
      <c r="AE36" s="9"/>
      <c r="AF36" s="9"/>
      <c r="AG36" s="9"/>
      <c r="AH36" s="9" t="s">
        <v>48</v>
      </c>
      <c r="AI36" s="9" t="s">
        <v>48</v>
      </c>
      <c r="AJ36" s="9" t="s">
        <v>48</v>
      </c>
      <c r="AK36" s="9"/>
      <c r="AL36" s="12">
        <f t="shared" si="3"/>
        <v>12</v>
      </c>
      <c r="AM36" s="57">
        <v>700</v>
      </c>
      <c r="AN36" s="36">
        <f t="shared" si="4"/>
        <v>8400</v>
      </c>
    </row>
    <row r="37" spans="2:41" ht="18" customHeight="1" x14ac:dyDescent="0.3">
      <c r="B37" s="108">
        <v>8</v>
      </c>
      <c r="C37" s="173" t="s">
        <v>60</v>
      </c>
      <c r="D37" s="43"/>
      <c r="E37" s="42" t="s">
        <v>76</v>
      </c>
      <c r="F37" s="42" t="s">
        <v>77</v>
      </c>
      <c r="G37" s="10" t="s">
        <v>1</v>
      </c>
      <c r="H37" s="9"/>
      <c r="I37" s="9"/>
      <c r="J37" s="9"/>
      <c r="K37" s="9"/>
      <c r="L37" s="9"/>
      <c r="M37" s="9" t="s">
        <v>48</v>
      </c>
      <c r="N37" s="9" t="s">
        <v>48</v>
      </c>
      <c r="O37" s="9" t="s">
        <v>48</v>
      </c>
      <c r="P37" s="9"/>
      <c r="Q37" s="9" t="s">
        <v>48</v>
      </c>
      <c r="R37" s="9" t="s">
        <v>48</v>
      </c>
      <c r="S37" s="9" t="s">
        <v>48</v>
      </c>
      <c r="T37" s="118" t="s">
        <v>48</v>
      </c>
      <c r="U37" s="9"/>
      <c r="V37" s="9"/>
      <c r="W37" s="9"/>
      <c r="X37" s="9" t="s">
        <v>48</v>
      </c>
      <c r="Y37" s="9" t="s">
        <v>48</v>
      </c>
      <c r="Z37" s="9" t="s">
        <v>48</v>
      </c>
      <c r="AA37" s="9"/>
      <c r="AB37" s="9" t="s">
        <v>48</v>
      </c>
      <c r="AC37" s="9" t="s">
        <v>48</v>
      </c>
      <c r="AD37" s="9" t="s">
        <v>48</v>
      </c>
      <c r="AE37" s="9"/>
      <c r="AF37" s="9"/>
      <c r="AG37" s="9"/>
      <c r="AH37" s="9" t="s">
        <v>48</v>
      </c>
      <c r="AI37" s="9" t="s">
        <v>48</v>
      </c>
      <c r="AJ37" s="9" t="s">
        <v>48</v>
      </c>
      <c r="AK37" s="9"/>
      <c r="AL37" s="12">
        <f t="shared" si="3"/>
        <v>16</v>
      </c>
      <c r="AM37" s="57">
        <v>700</v>
      </c>
      <c r="AN37" s="36">
        <f t="shared" si="4"/>
        <v>11200</v>
      </c>
    </row>
    <row r="38" spans="2:41" ht="18" customHeight="1" x14ac:dyDescent="0.3">
      <c r="B38" s="108">
        <v>9</v>
      </c>
      <c r="C38" s="110" t="s">
        <v>535</v>
      </c>
      <c r="D38" s="43"/>
      <c r="E38" s="42" t="s">
        <v>533</v>
      </c>
      <c r="F38" s="42" t="s">
        <v>534</v>
      </c>
      <c r="G38" s="10" t="s">
        <v>1</v>
      </c>
      <c r="H38" s="91"/>
      <c r="I38" s="91"/>
      <c r="J38" s="91"/>
      <c r="K38" s="91"/>
      <c r="L38" s="91"/>
      <c r="M38" s="91" t="s">
        <v>48</v>
      </c>
      <c r="N38" s="91" t="s">
        <v>48</v>
      </c>
      <c r="O38" s="91" t="s">
        <v>48</v>
      </c>
      <c r="P38" s="91"/>
      <c r="Q38" s="122" t="s">
        <v>48</v>
      </c>
      <c r="R38" s="122" t="s">
        <v>48</v>
      </c>
      <c r="S38" s="122" t="s">
        <v>48</v>
      </c>
      <c r="T38" s="122" t="s">
        <v>48</v>
      </c>
      <c r="U38" s="91" t="s">
        <v>48</v>
      </c>
      <c r="V38" s="91" t="s">
        <v>48</v>
      </c>
      <c r="W38" s="91" t="s">
        <v>48</v>
      </c>
      <c r="X38" s="118" t="s">
        <v>48</v>
      </c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 t="s">
        <v>48</v>
      </c>
      <c r="AJ38" s="118" t="s">
        <v>412</v>
      </c>
      <c r="AK38" s="121" t="s">
        <v>412</v>
      </c>
      <c r="AL38" s="12">
        <f t="shared" si="3"/>
        <v>16</v>
      </c>
      <c r="AM38" s="57">
        <v>700</v>
      </c>
      <c r="AN38" s="36">
        <f t="shared" si="4"/>
        <v>11200</v>
      </c>
    </row>
    <row r="39" spans="2:41" ht="18" customHeight="1" x14ac:dyDescent="0.3">
      <c r="B39" s="108">
        <v>10</v>
      </c>
      <c r="C39" s="166" t="s">
        <v>797</v>
      </c>
      <c r="D39" s="43"/>
      <c r="E39" s="163" t="s">
        <v>536</v>
      </c>
      <c r="F39" s="42" t="s">
        <v>537</v>
      </c>
      <c r="G39" s="10" t="s">
        <v>1</v>
      </c>
      <c r="H39" s="91"/>
      <c r="I39" s="91"/>
      <c r="J39" s="91"/>
      <c r="K39" s="91"/>
      <c r="L39" s="91"/>
      <c r="M39" s="91" t="s">
        <v>48</v>
      </c>
      <c r="N39" s="91" t="s">
        <v>48</v>
      </c>
      <c r="O39" s="91" t="s">
        <v>48</v>
      </c>
      <c r="P39" s="91"/>
      <c r="Q39" s="91"/>
      <c r="R39" s="91"/>
      <c r="S39" s="91"/>
      <c r="T39" s="91" t="s">
        <v>48</v>
      </c>
      <c r="U39" s="91" t="s">
        <v>48</v>
      </c>
      <c r="V39" s="91" t="s">
        <v>48</v>
      </c>
      <c r="W39" s="118" t="s">
        <v>48</v>
      </c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12">
        <f t="shared" si="3"/>
        <v>7</v>
      </c>
      <c r="AM39" s="169">
        <v>1000</v>
      </c>
      <c r="AN39" s="36">
        <f t="shared" si="4"/>
        <v>7000</v>
      </c>
      <c r="AO39" s="167" t="s">
        <v>821</v>
      </c>
    </row>
    <row r="40" spans="2:41" ht="18" customHeight="1" x14ac:dyDescent="0.3">
      <c r="B40" s="108">
        <v>11</v>
      </c>
      <c r="C40" s="10">
        <v>34699</v>
      </c>
      <c r="D40" s="43"/>
      <c r="E40" s="42" t="s">
        <v>542</v>
      </c>
      <c r="F40" s="42" t="s">
        <v>543</v>
      </c>
      <c r="G40" s="10" t="s">
        <v>1</v>
      </c>
      <c r="H40" s="91"/>
      <c r="I40" s="91"/>
      <c r="J40" s="91"/>
      <c r="K40" s="91"/>
      <c r="L40" s="91"/>
      <c r="M40" s="91"/>
      <c r="N40" s="91" t="s">
        <v>48</v>
      </c>
      <c r="O40" s="91" t="s">
        <v>48</v>
      </c>
      <c r="P40" s="91" t="s">
        <v>48</v>
      </c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12">
        <f t="shared" si="3"/>
        <v>3</v>
      </c>
      <c r="AM40" s="57">
        <v>700</v>
      </c>
      <c r="AN40" s="36">
        <f t="shared" si="4"/>
        <v>2100</v>
      </c>
    </row>
    <row r="41" spans="2:41" ht="18" customHeight="1" x14ac:dyDescent="0.3">
      <c r="B41" s="108">
        <v>12</v>
      </c>
      <c r="C41" s="171" t="s">
        <v>822</v>
      </c>
      <c r="D41" s="43"/>
      <c r="E41" s="163" t="s">
        <v>546</v>
      </c>
      <c r="F41" s="42" t="s">
        <v>547</v>
      </c>
      <c r="G41" s="10" t="s">
        <v>1</v>
      </c>
      <c r="H41" s="91"/>
      <c r="I41" s="91"/>
      <c r="J41" s="91"/>
      <c r="K41" s="91"/>
      <c r="L41" s="91"/>
      <c r="M41" s="91"/>
      <c r="N41" s="91" t="s">
        <v>48</v>
      </c>
      <c r="O41" s="91" t="s">
        <v>48</v>
      </c>
      <c r="P41" s="91" t="s">
        <v>48</v>
      </c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12">
        <f t="shared" si="3"/>
        <v>3</v>
      </c>
      <c r="AM41" s="57">
        <v>1000</v>
      </c>
      <c r="AN41" s="36">
        <f t="shared" si="4"/>
        <v>3000</v>
      </c>
      <c r="AO41" s="167" t="s">
        <v>821</v>
      </c>
    </row>
    <row r="42" spans="2:41" ht="18" customHeight="1" x14ac:dyDescent="0.3">
      <c r="B42" s="108">
        <v>13</v>
      </c>
      <c r="C42" s="171" t="s">
        <v>822</v>
      </c>
      <c r="D42" s="43"/>
      <c r="E42" s="163" t="s">
        <v>548</v>
      </c>
      <c r="F42" s="42" t="s">
        <v>549</v>
      </c>
      <c r="G42" s="10" t="s">
        <v>1</v>
      </c>
      <c r="H42" s="91"/>
      <c r="I42" s="91"/>
      <c r="J42" s="91"/>
      <c r="K42" s="91"/>
      <c r="L42" s="91"/>
      <c r="M42" s="91"/>
      <c r="N42" s="91" t="s">
        <v>48</v>
      </c>
      <c r="O42" s="91" t="s">
        <v>48</v>
      </c>
      <c r="P42" s="91" t="s">
        <v>48</v>
      </c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12">
        <f t="shared" si="3"/>
        <v>3</v>
      </c>
      <c r="AM42" s="57">
        <v>1000</v>
      </c>
      <c r="AN42" s="36">
        <f t="shared" si="4"/>
        <v>3000</v>
      </c>
      <c r="AO42" s="167" t="s">
        <v>821</v>
      </c>
    </row>
    <row r="43" spans="2:41" ht="18" customHeight="1" x14ac:dyDescent="0.3">
      <c r="B43" s="108">
        <v>14</v>
      </c>
      <c r="C43" s="10" t="s">
        <v>569</v>
      </c>
      <c r="D43" s="43"/>
      <c r="E43" s="43" t="s">
        <v>567</v>
      </c>
      <c r="F43" s="43" t="s">
        <v>568</v>
      </c>
      <c r="G43" s="11" t="s">
        <v>0</v>
      </c>
      <c r="H43" s="91"/>
      <c r="I43" s="91"/>
      <c r="J43" s="91"/>
      <c r="K43" s="91"/>
      <c r="L43" s="91"/>
      <c r="M43" s="91"/>
      <c r="N43" s="91"/>
      <c r="O43" s="91"/>
      <c r="P43" s="91"/>
      <c r="Q43" s="91" t="s">
        <v>48</v>
      </c>
      <c r="R43" s="91" t="s">
        <v>48</v>
      </c>
      <c r="S43" s="91" t="s">
        <v>48</v>
      </c>
      <c r="T43" s="118" t="s">
        <v>48</v>
      </c>
      <c r="U43" s="91" t="s">
        <v>48</v>
      </c>
      <c r="V43" s="91" t="s">
        <v>48</v>
      </c>
      <c r="W43" s="91" t="s">
        <v>48</v>
      </c>
      <c r="X43" s="118" t="s">
        <v>48</v>
      </c>
      <c r="Y43" s="91"/>
      <c r="Z43" s="91"/>
      <c r="AA43" s="91" t="s">
        <v>48</v>
      </c>
      <c r="AB43" s="91" t="s">
        <v>48</v>
      </c>
      <c r="AC43" s="91" t="s">
        <v>48</v>
      </c>
      <c r="AD43" s="118" t="s">
        <v>48</v>
      </c>
      <c r="AE43" s="91" t="s">
        <v>48</v>
      </c>
      <c r="AF43" s="91" t="s">
        <v>48</v>
      </c>
      <c r="AG43" s="91" t="s">
        <v>48</v>
      </c>
      <c r="AH43" s="91"/>
      <c r="AI43" s="91" t="s">
        <v>48</v>
      </c>
      <c r="AJ43" s="118" t="s">
        <v>412</v>
      </c>
      <c r="AK43" s="121" t="s">
        <v>412</v>
      </c>
      <c r="AL43" s="12">
        <f t="shared" si="3"/>
        <v>20</v>
      </c>
      <c r="AM43" s="57">
        <v>750</v>
      </c>
      <c r="AN43" s="36">
        <f t="shared" si="4"/>
        <v>15000</v>
      </c>
    </row>
    <row r="44" spans="2:41" ht="18" customHeight="1" x14ac:dyDescent="0.3">
      <c r="B44" s="108">
        <v>15</v>
      </c>
      <c r="C44" s="110" t="s">
        <v>572</v>
      </c>
      <c r="D44" s="43"/>
      <c r="E44" s="42" t="s">
        <v>570</v>
      </c>
      <c r="F44" s="42" t="s">
        <v>571</v>
      </c>
      <c r="G44" s="10" t="s">
        <v>1</v>
      </c>
      <c r="H44" s="91"/>
      <c r="I44" s="91"/>
      <c r="J44" s="91"/>
      <c r="K44" s="91"/>
      <c r="L44" s="91"/>
      <c r="M44" s="91"/>
      <c r="N44" s="91"/>
      <c r="O44" s="91"/>
      <c r="P44" s="91"/>
      <c r="Q44" s="91" t="s">
        <v>48</v>
      </c>
      <c r="R44" s="91" t="s">
        <v>48</v>
      </c>
      <c r="S44" s="91" t="s">
        <v>48</v>
      </c>
      <c r="T44" s="118" t="s">
        <v>48</v>
      </c>
      <c r="U44" s="91" t="s">
        <v>48</v>
      </c>
      <c r="V44" s="91" t="s">
        <v>48</v>
      </c>
      <c r="W44" s="91" t="s">
        <v>48</v>
      </c>
      <c r="X44" s="118" t="s">
        <v>48</v>
      </c>
      <c r="Y44" s="91"/>
      <c r="Z44" s="91"/>
      <c r="AA44" s="91" t="s">
        <v>48</v>
      </c>
      <c r="AB44" s="91" t="s">
        <v>48</v>
      </c>
      <c r="AC44" s="91" t="s">
        <v>48</v>
      </c>
      <c r="AD44" s="118" t="s">
        <v>48</v>
      </c>
      <c r="AE44" s="91"/>
      <c r="AF44" s="91"/>
      <c r="AG44" s="91"/>
      <c r="AH44" s="91"/>
      <c r="AI44" s="91"/>
      <c r="AJ44" s="91"/>
      <c r="AK44" s="91"/>
      <c r="AL44" s="12">
        <f t="shared" si="3"/>
        <v>12</v>
      </c>
      <c r="AM44" s="57">
        <v>700</v>
      </c>
      <c r="AN44" s="36">
        <f t="shared" si="4"/>
        <v>8400</v>
      </c>
    </row>
    <row r="45" spans="2:41" ht="18" customHeight="1" x14ac:dyDescent="0.3">
      <c r="B45" s="108">
        <v>16</v>
      </c>
      <c r="C45" s="110" t="s">
        <v>575</v>
      </c>
      <c r="D45" s="43"/>
      <c r="E45" s="42" t="s">
        <v>573</v>
      </c>
      <c r="F45" s="42" t="s">
        <v>574</v>
      </c>
      <c r="G45" s="10" t="s">
        <v>1</v>
      </c>
      <c r="H45" s="91"/>
      <c r="I45" s="91"/>
      <c r="J45" s="91"/>
      <c r="K45" s="91"/>
      <c r="L45" s="91"/>
      <c r="M45" s="91"/>
      <c r="N45" s="91"/>
      <c r="O45" s="91"/>
      <c r="P45" s="91"/>
      <c r="Q45" s="91" t="s">
        <v>48</v>
      </c>
      <c r="R45" s="91" t="s">
        <v>48</v>
      </c>
      <c r="S45" s="91" t="s">
        <v>48</v>
      </c>
      <c r="T45" s="118" t="s">
        <v>48</v>
      </c>
      <c r="U45" s="91" t="s">
        <v>48</v>
      </c>
      <c r="V45" s="91" t="s">
        <v>48</v>
      </c>
      <c r="W45" s="91" t="s">
        <v>48</v>
      </c>
      <c r="X45" s="118" t="s">
        <v>48</v>
      </c>
      <c r="Y45" s="91"/>
      <c r="Z45" s="91"/>
      <c r="AA45" s="91" t="s">
        <v>48</v>
      </c>
      <c r="AB45" s="91" t="s">
        <v>48</v>
      </c>
      <c r="AC45" s="91" t="s">
        <v>48</v>
      </c>
      <c r="AD45" s="118" t="s">
        <v>48</v>
      </c>
      <c r="AE45" s="91" t="s">
        <v>48</v>
      </c>
      <c r="AF45" s="91" t="s">
        <v>48</v>
      </c>
      <c r="AG45" s="91" t="s">
        <v>48</v>
      </c>
      <c r="AH45" s="91"/>
      <c r="AI45" s="91"/>
      <c r="AJ45" s="91"/>
      <c r="AK45" s="91"/>
      <c r="AL45" s="12">
        <f t="shared" si="3"/>
        <v>15</v>
      </c>
      <c r="AM45" s="57">
        <v>700</v>
      </c>
      <c r="AN45" s="36">
        <f t="shared" si="4"/>
        <v>10500</v>
      </c>
    </row>
    <row r="46" spans="2:41" ht="18" customHeight="1" x14ac:dyDescent="0.3">
      <c r="B46" s="108">
        <v>17</v>
      </c>
      <c r="C46" s="110" t="s">
        <v>578</v>
      </c>
      <c r="D46" s="43"/>
      <c r="E46" s="42" t="s">
        <v>576</v>
      </c>
      <c r="F46" s="42" t="s">
        <v>577</v>
      </c>
      <c r="G46" s="10" t="s">
        <v>1</v>
      </c>
      <c r="H46" s="91"/>
      <c r="I46" s="91"/>
      <c r="J46" s="91"/>
      <c r="K46" s="91"/>
      <c r="L46" s="91"/>
      <c r="M46" s="91"/>
      <c r="N46" s="91"/>
      <c r="O46" s="91"/>
      <c r="P46" s="91"/>
      <c r="Q46" s="91" t="s">
        <v>48</v>
      </c>
      <c r="R46" s="91" t="s">
        <v>48</v>
      </c>
      <c r="S46" s="91" t="s">
        <v>48</v>
      </c>
      <c r="T46" s="118" t="s">
        <v>48</v>
      </c>
      <c r="U46" s="91" t="s">
        <v>48</v>
      </c>
      <c r="V46" s="91" t="s">
        <v>48</v>
      </c>
      <c r="W46" s="91" t="s">
        <v>48</v>
      </c>
      <c r="X46" s="118" t="s">
        <v>48</v>
      </c>
      <c r="Y46" s="91"/>
      <c r="Z46" s="91"/>
      <c r="AA46" s="91" t="s">
        <v>48</v>
      </c>
      <c r="AB46" s="91" t="s">
        <v>48</v>
      </c>
      <c r="AC46" s="91" t="s">
        <v>48</v>
      </c>
      <c r="AD46" s="118" t="s">
        <v>48</v>
      </c>
      <c r="AE46" s="91" t="s">
        <v>48</v>
      </c>
      <c r="AF46" s="91" t="s">
        <v>48</v>
      </c>
      <c r="AG46" s="91" t="s">
        <v>48</v>
      </c>
      <c r="AH46" s="91"/>
      <c r="AI46" s="91" t="s">
        <v>48</v>
      </c>
      <c r="AJ46" s="118" t="s">
        <v>412</v>
      </c>
      <c r="AK46" s="118" t="s">
        <v>412</v>
      </c>
      <c r="AL46" s="12">
        <f t="shared" si="3"/>
        <v>20</v>
      </c>
      <c r="AM46" s="57">
        <v>700</v>
      </c>
      <c r="AN46" s="36">
        <f t="shared" si="4"/>
        <v>14000</v>
      </c>
    </row>
    <row r="47" spans="2:41" ht="18" customHeight="1" x14ac:dyDescent="0.3">
      <c r="B47" s="108">
        <v>18</v>
      </c>
      <c r="C47" s="10" t="s">
        <v>581</v>
      </c>
      <c r="D47" s="43"/>
      <c r="E47" s="43" t="s">
        <v>579</v>
      </c>
      <c r="F47" s="43" t="s">
        <v>580</v>
      </c>
      <c r="G47" s="11" t="s">
        <v>0</v>
      </c>
      <c r="H47" s="91"/>
      <c r="I47" s="91"/>
      <c r="J47" s="91"/>
      <c r="K47" s="91"/>
      <c r="L47" s="91"/>
      <c r="M47" s="91"/>
      <c r="N47" s="91"/>
      <c r="O47" s="91"/>
      <c r="P47" s="91"/>
      <c r="Q47" s="91" t="s">
        <v>48</v>
      </c>
      <c r="R47" s="91" t="s">
        <v>48</v>
      </c>
      <c r="S47" s="91" t="s">
        <v>48</v>
      </c>
      <c r="T47" s="118" t="s">
        <v>48</v>
      </c>
      <c r="U47" s="91" t="s">
        <v>48</v>
      </c>
      <c r="V47" s="91" t="s">
        <v>48</v>
      </c>
      <c r="W47" s="91" t="s">
        <v>48</v>
      </c>
      <c r="X47" s="118" t="s">
        <v>48</v>
      </c>
      <c r="Y47" s="91"/>
      <c r="Z47" s="91"/>
      <c r="AA47" s="91" t="s">
        <v>48</v>
      </c>
      <c r="AB47" s="91" t="s">
        <v>48</v>
      </c>
      <c r="AC47" s="91" t="s">
        <v>48</v>
      </c>
      <c r="AD47" s="118" t="s">
        <v>48</v>
      </c>
      <c r="AE47" s="91" t="s">
        <v>48</v>
      </c>
      <c r="AF47" s="91" t="s">
        <v>48</v>
      </c>
      <c r="AG47" s="91" t="s">
        <v>48</v>
      </c>
      <c r="AH47" s="91"/>
      <c r="AI47" s="91" t="s">
        <v>48</v>
      </c>
      <c r="AJ47" s="118" t="s">
        <v>412</v>
      </c>
      <c r="AK47" s="118" t="s">
        <v>412</v>
      </c>
      <c r="AL47" s="12">
        <f t="shared" si="3"/>
        <v>20</v>
      </c>
      <c r="AM47" s="57">
        <v>750</v>
      </c>
      <c r="AN47" s="36">
        <f t="shared" si="4"/>
        <v>15000</v>
      </c>
    </row>
    <row r="48" spans="2:41" ht="18" customHeight="1" x14ac:dyDescent="0.3">
      <c r="B48" s="108">
        <v>19</v>
      </c>
      <c r="C48" s="10" t="s">
        <v>584</v>
      </c>
      <c r="D48" s="43"/>
      <c r="E48" s="43" t="s">
        <v>582</v>
      </c>
      <c r="F48" s="43" t="s">
        <v>583</v>
      </c>
      <c r="G48" s="10" t="s">
        <v>1</v>
      </c>
      <c r="H48" s="91"/>
      <c r="I48" s="91"/>
      <c r="J48" s="91"/>
      <c r="K48" s="91"/>
      <c r="L48" s="91"/>
      <c r="M48" s="91"/>
      <c r="N48" s="91"/>
      <c r="O48" s="91"/>
      <c r="P48" s="91"/>
      <c r="Q48" s="91" t="s">
        <v>48</v>
      </c>
      <c r="R48" s="91" t="s">
        <v>48</v>
      </c>
      <c r="S48" s="91" t="s">
        <v>48</v>
      </c>
      <c r="T48" s="118" t="s">
        <v>48</v>
      </c>
      <c r="U48" s="91" t="s">
        <v>48</v>
      </c>
      <c r="V48" s="91" t="s">
        <v>48</v>
      </c>
      <c r="W48" s="91" t="s">
        <v>48</v>
      </c>
      <c r="X48" s="118" t="s">
        <v>48</v>
      </c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12">
        <f t="shared" si="3"/>
        <v>8</v>
      </c>
      <c r="AM48" s="57">
        <v>700</v>
      </c>
      <c r="AN48" s="36">
        <f t="shared" si="4"/>
        <v>5600</v>
      </c>
    </row>
    <row r="49" spans="2:41" ht="18" customHeight="1" x14ac:dyDescent="0.3">
      <c r="B49" s="108">
        <v>20</v>
      </c>
      <c r="C49" s="10" t="s">
        <v>587</v>
      </c>
      <c r="D49" s="43"/>
      <c r="E49" s="43" t="s">
        <v>585</v>
      </c>
      <c r="F49" s="43" t="s">
        <v>586</v>
      </c>
      <c r="G49" s="10" t="s">
        <v>1</v>
      </c>
      <c r="H49" s="91"/>
      <c r="I49" s="91"/>
      <c r="J49" s="91"/>
      <c r="K49" s="91"/>
      <c r="L49" s="91"/>
      <c r="M49" s="91"/>
      <c r="N49" s="91"/>
      <c r="O49" s="91"/>
      <c r="P49" s="91"/>
      <c r="Q49" s="91" t="s">
        <v>48</v>
      </c>
      <c r="R49" s="91" t="s">
        <v>48</v>
      </c>
      <c r="S49" s="91" t="s">
        <v>48</v>
      </c>
      <c r="T49" s="118" t="s">
        <v>48</v>
      </c>
      <c r="U49" s="91" t="s">
        <v>48</v>
      </c>
      <c r="V49" s="91" t="s">
        <v>48</v>
      </c>
      <c r="W49" s="91" t="s">
        <v>48</v>
      </c>
      <c r="X49" s="118" t="s">
        <v>48</v>
      </c>
      <c r="Y49" s="91"/>
      <c r="Z49" s="91"/>
      <c r="AA49" s="91" t="s">
        <v>48</v>
      </c>
      <c r="AB49" s="91" t="s">
        <v>48</v>
      </c>
      <c r="AC49" s="91" t="s">
        <v>48</v>
      </c>
      <c r="AD49" s="118" t="s">
        <v>48</v>
      </c>
      <c r="AE49" s="91" t="s">
        <v>48</v>
      </c>
      <c r="AF49" s="91" t="s">
        <v>48</v>
      </c>
      <c r="AG49" s="91" t="s">
        <v>48</v>
      </c>
      <c r="AH49" s="91"/>
      <c r="AI49" s="91" t="s">
        <v>48</v>
      </c>
      <c r="AJ49" s="118" t="s">
        <v>412</v>
      </c>
      <c r="AK49" s="118" t="s">
        <v>412</v>
      </c>
      <c r="AL49" s="12">
        <f t="shared" si="3"/>
        <v>20</v>
      </c>
      <c r="AM49" s="57">
        <v>700</v>
      </c>
      <c r="AN49" s="36">
        <f t="shared" si="4"/>
        <v>14000</v>
      </c>
    </row>
    <row r="50" spans="2:41" ht="18" customHeight="1" x14ac:dyDescent="0.3">
      <c r="B50" s="108">
        <v>21</v>
      </c>
      <c r="C50" s="110" t="s">
        <v>590</v>
      </c>
      <c r="D50" s="43"/>
      <c r="E50" s="42" t="s">
        <v>588</v>
      </c>
      <c r="F50" s="42" t="s">
        <v>589</v>
      </c>
      <c r="G50" s="10" t="s">
        <v>1</v>
      </c>
      <c r="H50" s="91"/>
      <c r="I50" s="91"/>
      <c r="J50" s="91"/>
      <c r="K50" s="91"/>
      <c r="L50" s="91"/>
      <c r="M50" s="91"/>
      <c r="N50" s="91"/>
      <c r="O50" s="91"/>
      <c r="P50" s="91"/>
      <c r="Q50" s="91" t="s">
        <v>48</v>
      </c>
      <c r="R50" s="91" t="s">
        <v>48</v>
      </c>
      <c r="S50" s="91" t="s">
        <v>48</v>
      </c>
      <c r="T50" s="118" t="s">
        <v>48</v>
      </c>
      <c r="U50" s="91"/>
      <c r="V50" s="91"/>
      <c r="W50" s="91"/>
      <c r="X50" s="91"/>
      <c r="Y50" s="91"/>
      <c r="Z50" s="91"/>
      <c r="AA50" s="91" t="s">
        <v>48</v>
      </c>
      <c r="AB50" s="91" t="s">
        <v>48</v>
      </c>
      <c r="AC50" s="91" t="s">
        <v>48</v>
      </c>
      <c r="AD50" s="118" t="s">
        <v>48</v>
      </c>
      <c r="AE50" s="91" t="s">
        <v>48</v>
      </c>
      <c r="AF50" s="91" t="s">
        <v>48</v>
      </c>
      <c r="AG50" s="91" t="s">
        <v>48</v>
      </c>
      <c r="AH50" s="91"/>
      <c r="AI50" s="91"/>
      <c r="AJ50" s="91"/>
      <c r="AK50" s="91"/>
      <c r="AL50" s="12">
        <f t="shared" si="3"/>
        <v>11</v>
      </c>
      <c r="AM50" s="57">
        <v>700</v>
      </c>
      <c r="AN50" s="36">
        <f t="shared" si="4"/>
        <v>7700</v>
      </c>
    </row>
    <row r="51" spans="2:41" ht="18" customHeight="1" x14ac:dyDescent="0.3">
      <c r="B51" s="108">
        <v>22</v>
      </c>
      <c r="C51" s="10" t="s">
        <v>593</v>
      </c>
      <c r="D51" s="43"/>
      <c r="E51" s="43" t="s">
        <v>591</v>
      </c>
      <c r="F51" s="43" t="s">
        <v>592</v>
      </c>
      <c r="G51" s="10" t="s">
        <v>1</v>
      </c>
      <c r="H51" s="91"/>
      <c r="I51" s="91"/>
      <c r="J51" s="91"/>
      <c r="K51" s="91"/>
      <c r="L51" s="91"/>
      <c r="M51" s="91"/>
      <c r="N51" s="91"/>
      <c r="O51" s="91"/>
      <c r="P51" s="91"/>
      <c r="Q51" s="91" t="s">
        <v>48</v>
      </c>
      <c r="R51" s="91" t="s">
        <v>48</v>
      </c>
      <c r="S51" s="91" t="s">
        <v>48</v>
      </c>
      <c r="T51" s="118" t="s">
        <v>48</v>
      </c>
      <c r="U51" s="91" t="s">
        <v>48</v>
      </c>
      <c r="V51" s="91" t="s">
        <v>48</v>
      </c>
      <c r="W51" s="91" t="s">
        <v>48</v>
      </c>
      <c r="X51" s="118" t="s">
        <v>48</v>
      </c>
      <c r="Y51" s="91"/>
      <c r="Z51" s="91"/>
      <c r="AA51" s="91" t="s">
        <v>48</v>
      </c>
      <c r="AB51" s="91" t="s">
        <v>48</v>
      </c>
      <c r="AC51" s="91" t="s">
        <v>48</v>
      </c>
      <c r="AD51" s="118" t="s">
        <v>48</v>
      </c>
      <c r="AE51" s="91" t="s">
        <v>48</v>
      </c>
      <c r="AF51" s="91" t="s">
        <v>48</v>
      </c>
      <c r="AG51" s="91" t="s">
        <v>48</v>
      </c>
      <c r="AH51" s="91"/>
      <c r="AI51" s="91" t="s">
        <v>48</v>
      </c>
      <c r="AJ51" s="118" t="s">
        <v>412</v>
      </c>
      <c r="AK51" s="118" t="s">
        <v>412</v>
      </c>
      <c r="AL51" s="12">
        <f t="shared" si="3"/>
        <v>20</v>
      </c>
      <c r="AM51" s="57">
        <v>700</v>
      </c>
      <c r="AN51" s="36">
        <f t="shared" si="4"/>
        <v>14000</v>
      </c>
    </row>
    <row r="52" spans="2:41" ht="18" customHeight="1" x14ac:dyDescent="0.3">
      <c r="B52" s="108">
        <v>23</v>
      </c>
      <c r="C52" s="171" t="s">
        <v>822</v>
      </c>
      <c r="D52" s="43"/>
      <c r="E52" s="163" t="s">
        <v>604</v>
      </c>
      <c r="F52" s="42" t="s">
        <v>605</v>
      </c>
      <c r="G52" s="10" t="s">
        <v>1</v>
      </c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 t="s">
        <v>48</v>
      </c>
      <c r="U52" s="91" t="s">
        <v>48</v>
      </c>
      <c r="V52" s="91" t="s">
        <v>48</v>
      </c>
      <c r="W52" s="118" t="s">
        <v>48</v>
      </c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12">
        <f t="shared" si="3"/>
        <v>4</v>
      </c>
      <c r="AM52" s="169">
        <v>1000</v>
      </c>
      <c r="AN52" s="36">
        <f t="shared" si="4"/>
        <v>4000</v>
      </c>
      <c r="AO52" s="167" t="s">
        <v>821</v>
      </c>
    </row>
    <row r="53" spans="2:41" ht="18" customHeight="1" x14ac:dyDescent="0.3">
      <c r="B53" s="108">
        <v>24</v>
      </c>
      <c r="C53" s="110" t="s">
        <v>614</v>
      </c>
      <c r="D53" s="43"/>
      <c r="E53" s="42" t="s">
        <v>612</v>
      </c>
      <c r="F53" s="42" t="s">
        <v>613</v>
      </c>
      <c r="G53" s="11" t="s">
        <v>0</v>
      </c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10"/>
      <c r="U53" s="91" t="s">
        <v>48</v>
      </c>
      <c r="V53" s="91" t="s">
        <v>48</v>
      </c>
      <c r="W53" s="91" t="s">
        <v>48</v>
      </c>
      <c r="X53" s="118" t="s">
        <v>48</v>
      </c>
      <c r="Y53" s="91"/>
      <c r="Z53" s="91"/>
      <c r="AA53" s="91" t="s">
        <v>48</v>
      </c>
      <c r="AB53" s="91" t="s">
        <v>48</v>
      </c>
      <c r="AC53" s="91" t="s">
        <v>48</v>
      </c>
      <c r="AD53" s="118" t="s">
        <v>48</v>
      </c>
      <c r="AE53" s="91" t="s">
        <v>48</v>
      </c>
      <c r="AF53" s="91" t="s">
        <v>48</v>
      </c>
      <c r="AG53" s="91" t="s">
        <v>48</v>
      </c>
      <c r="AH53" s="91"/>
      <c r="AI53" s="91"/>
      <c r="AJ53" s="91"/>
      <c r="AK53" s="91"/>
      <c r="AL53" s="12">
        <f t="shared" si="3"/>
        <v>11</v>
      </c>
      <c r="AM53" s="57">
        <v>750</v>
      </c>
      <c r="AN53" s="36">
        <f t="shared" si="4"/>
        <v>8250</v>
      </c>
    </row>
    <row r="54" spans="2:41" ht="18" customHeight="1" x14ac:dyDescent="0.3">
      <c r="B54" s="108">
        <v>25</v>
      </c>
      <c r="C54" s="110" t="s">
        <v>642</v>
      </c>
      <c r="D54" s="43"/>
      <c r="E54" s="42" t="s">
        <v>640</v>
      </c>
      <c r="F54" s="42" t="s">
        <v>641</v>
      </c>
      <c r="G54" s="10" t="s">
        <v>1</v>
      </c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 t="s">
        <v>48</v>
      </c>
      <c r="Y54" s="91" t="s">
        <v>48</v>
      </c>
      <c r="Z54" s="91" t="s">
        <v>48</v>
      </c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12">
        <f t="shared" si="3"/>
        <v>3</v>
      </c>
      <c r="AM54" s="57">
        <v>700</v>
      </c>
      <c r="AN54" s="36">
        <f t="shared" si="4"/>
        <v>2100</v>
      </c>
    </row>
    <row r="55" spans="2:41" ht="18" customHeight="1" x14ac:dyDescent="0.3">
      <c r="B55" s="108">
        <v>26</v>
      </c>
      <c r="C55" s="110">
        <v>34483</v>
      </c>
      <c r="D55" s="43"/>
      <c r="E55" s="42" t="s">
        <v>643</v>
      </c>
      <c r="F55" s="42" t="s">
        <v>644</v>
      </c>
      <c r="G55" s="10" t="s">
        <v>1</v>
      </c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 t="s">
        <v>48</v>
      </c>
      <c r="Y55" s="91" t="s">
        <v>48</v>
      </c>
      <c r="Z55" s="91" t="s">
        <v>48</v>
      </c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12">
        <f t="shared" si="3"/>
        <v>3</v>
      </c>
      <c r="AM55" s="57">
        <v>700</v>
      </c>
      <c r="AN55" s="36">
        <f t="shared" si="4"/>
        <v>2100</v>
      </c>
    </row>
    <row r="56" spans="2:41" ht="18" customHeight="1" x14ac:dyDescent="0.3">
      <c r="B56" s="108">
        <v>27</v>
      </c>
      <c r="C56" s="166" t="s">
        <v>513</v>
      </c>
      <c r="D56" s="43"/>
      <c r="E56" s="163" t="s">
        <v>511</v>
      </c>
      <c r="F56" s="42" t="s">
        <v>512</v>
      </c>
      <c r="G56" s="10" t="s">
        <v>1</v>
      </c>
      <c r="H56" s="91"/>
      <c r="I56" s="91"/>
      <c r="J56" s="91" t="s">
        <v>48</v>
      </c>
      <c r="K56" s="91" t="s">
        <v>48</v>
      </c>
      <c r="L56" s="91" t="s">
        <v>48</v>
      </c>
      <c r="M56" s="91" t="s">
        <v>48</v>
      </c>
      <c r="N56" s="91" t="s">
        <v>48</v>
      </c>
      <c r="O56" s="91" t="s">
        <v>48</v>
      </c>
      <c r="P56" s="91"/>
      <c r="Q56" s="91"/>
      <c r="R56" s="91"/>
      <c r="S56" s="91"/>
      <c r="T56" s="91" t="s">
        <v>48</v>
      </c>
      <c r="U56" s="91" t="s">
        <v>48</v>
      </c>
      <c r="V56" s="91" t="s">
        <v>48</v>
      </c>
      <c r="W56" s="118" t="s">
        <v>48</v>
      </c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12">
        <f t="shared" si="3"/>
        <v>10</v>
      </c>
      <c r="AM56" s="169">
        <v>1000</v>
      </c>
      <c r="AN56" s="36">
        <f t="shared" si="4"/>
        <v>10000</v>
      </c>
      <c r="AO56" s="167" t="s">
        <v>821</v>
      </c>
    </row>
    <row r="57" spans="2:41" ht="18" customHeight="1" x14ac:dyDescent="0.3">
      <c r="B57" s="108">
        <v>28</v>
      </c>
      <c r="C57" s="171" t="s">
        <v>394</v>
      </c>
      <c r="D57" s="43"/>
      <c r="E57" s="164" t="s">
        <v>392</v>
      </c>
      <c r="F57" s="43" t="s">
        <v>393</v>
      </c>
      <c r="G57" s="10" t="s">
        <v>1</v>
      </c>
      <c r="H57" s="91" t="s">
        <v>48</v>
      </c>
      <c r="I57" s="91"/>
      <c r="J57" s="91" t="s">
        <v>48</v>
      </c>
      <c r="K57" s="91" t="s">
        <v>48</v>
      </c>
      <c r="L57" s="91" t="s">
        <v>48</v>
      </c>
      <c r="M57" s="91" t="s">
        <v>48</v>
      </c>
      <c r="N57" s="91" t="s">
        <v>48</v>
      </c>
      <c r="O57" s="91" t="s">
        <v>48</v>
      </c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12">
        <f t="shared" si="3"/>
        <v>7</v>
      </c>
      <c r="AM57" s="169">
        <v>1000</v>
      </c>
      <c r="AN57" s="36">
        <f t="shared" si="4"/>
        <v>7000</v>
      </c>
      <c r="AO57" s="167" t="s">
        <v>821</v>
      </c>
    </row>
    <row r="58" spans="2:41" ht="18" customHeight="1" x14ac:dyDescent="0.3">
      <c r="B58" s="108">
        <v>29</v>
      </c>
      <c r="C58" s="110" t="s">
        <v>634</v>
      </c>
      <c r="D58" s="43"/>
      <c r="E58" s="42" t="s">
        <v>363</v>
      </c>
      <c r="F58" s="42" t="s">
        <v>238</v>
      </c>
      <c r="G58" s="10" t="s">
        <v>1</v>
      </c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 t="s">
        <v>48</v>
      </c>
      <c r="AC58" s="95" t="s">
        <v>48</v>
      </c>
      <c r="AD58" s="95" t="s">
        <v>48</v>
      </c>
      <c r="AE58" s="95"/>
      <c r="AF58" s="95"/>
      <c r="AG58" s="95"/>
      <c r="AH58" s="95"/>
      <c r="AI58" s="95"/>
      <c r="AJ58" s="95"/>
      <c r="AK58" s="95"/>
      <c r="AL58" s="12">
        <f t="shared" si="3"/>
        <v>3</v>
      </c>
      <c r="AM58" s="57">
        <v>700</v>
      </c>
      <c r="AN58" s="36">
        <f t="shared" si="4"/>
        <v>2100</v>
      </c>
    </row>
    <row r="59" spans="2:41" ht="18" customHeight="1" x14ac:dyDescent="0.3">
      <c r="B59" s="108">
        <v>30</v>
      </c>
      <c r="C59" s="110" t="s">
        <v>661</v>
      </c>
      <c r="D59" s="43"/>
      <c r="E59" s="42" t="s">
        <v>85</v>
      </c>
      <c r="F59" s="42" t="s">
        <v>171</v>
      </c>
      <c r="G59" s="10" t="s">
        <v>1</v>
      </c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 t="s">
        <v>48</v>
      </c>
      <c r="AC59" s="95" t="s">
        <v>48</v>
      </c>
      <c r="AD59" s="95" t="s">
        <v>48</v>
      </c>
      <c r="AE59" s="95"/>
      <c r="AF59" s="95"/>
      <c r="AG59" s="95"/>
      <c r="AH59" s="95"/>
      <c r="AI59" s="95"/>
      <c r="AJ59" s="95"/>
      <c r="AK59" s="95"/>
      <c r="AL59" s="12">
        <f t="shared" si="3"/>
        <v>3</v>
      </c>
      <c r="AM59" s="57">
        <v>700</v>
      </c>
      <c r="AN59" s="36">
        <f t="shared" si="4"/>
        <v>2100</v>
      </c>
    </row>
    <row r="60" spans="2:41" ht="18" customHeight="1" x14ac:dyDescent="0.3">
      <c r="B60" s="108">
        <v>31</v>
      </c>
      <c r="C60" s="110" t="s">
        <v>669</v>
      </c>
      <c r="D60" s="43"/>
      <c r="E60" s="42" t="s">
        <v>667</v>
      </c>
      <c r="F60" s="42" t="s">
        <v>668</v>
      </c>
      <c r="G60" s="10" t="s">
        <v>1</v>
      </c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 t="s">
        <v>48</v>
      </c>
      <c r="AF60" s="95" t="s">
        <v>48</v>
      </c>
      <c r="AG60" s="95" t="s">
        <v>48</v>
      </c>
      <c r="AH60" s="95"/>
      <c r="AI60" s="95"/>
      <c r="AJ60" s="95"/>
      <c r="AK60" s="95"/>
      <c r="AL60" s="12">
        <f t="shared" si="3"/>
        <v>3</v>
      </c>
      <c r="AM60" s="57">
        <v>700</v>
      </c>
      <c r="AN60" s="36">
        <f t="shared" si="4"/>
        <v>2100</v>
      </c>
    </row>
    <row r="61" spans="2:41" ht="18" customHeight="1" x14ac:dyDescent="0.3">
      <c r="B61" s="108">
        <v>32</v>
      </c>
      <c r="C61" s="110" t="s">
        <v>803</v>
      </c>
      <c r="D61" s="43"/>
      <c r="E61" s="43" t="s">
        <v>286</v>
      </c>
      <c r="F61" s="43" t="s">
        <v>203</v>
      </c>
      <c r="G61" s="10" t="s">
        <v>1</v>
      </c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 t="s">
        <v>48</v>
      </c>
      <c r="AB61" s="92" t="s">
        <v>48</v>
      </c>
      <c r="AC61" s="92" t="s">
        <v>48</v>
      </c>
      <c r="AD61" s="118" t="s">
        <v>48</v>
      </c>
      <c r="AE61" s="92"/>
      <c r="AF61" s="92"/>
      <c r="AG61" s="92"/>
      <c r="AH61" s="92"/>
      <c r="AI61" s="92"/>
      <c r="AJ61" s="92"/>
      <c r="AK61" s="92"/>
      <c r="AL61" s="12">
        <f t="shared" si="3"/>
        <v>4</v>
      </c>
      <c r="AM61" s="57">
        <v>700</v>
      </c>
      <c r="AN61" s="36">
        <f t="shared" si="4"/>
        <v>2800</v>
      </c>
    </row>
    <row r="62" spans="2:41" ht="18" customHeight="1" x14ac:dyDescent="0.3">
      <c r="B62" s="108">
        <v>33</v>
      </c>
      <c r="C62" s="10" t="s">
        <v>657</v>
      </c>
      <c r="D62" s="43"/>
      <c r="E62" s="43" t="s">
        <v>655</v>
      </c>
      <c r="F62" s="43" t="s">
        <v>656</v>
      </c>
      <c r="G62" s="10" t="s">
        <v>1</v>
      </c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 t="s">
        <v>48</v>
      </c>
      <c r="AC62" s="92" t="s">
        <v>48</v>
      </c>
      <c r="AD62" s="92" t="s">
        <v>48</v>
      </c>
      <c r="AE62" s="92"/>
      <c r="AF62" s="92"/>
      <c r="AG62" s="92"/>
      <c r="AH62" s="92"/>
      <c r="AI62" s="92"/>
      <c r="AJ62" s="92"/>
      <c r="AK62" s="92"/>
      <c r="AL62" s="12">
        <f t="shared" si="3"/>
        <v>3</v>
      </c>
      <c r="AM62" s="57">
        <v>700</v>
      </c>
      <c r="AN62" s="36">
        <f t="shared" si="4"/>
        <v>2100</v>
      </c>
    </row>
    <row r="63" spans="2:41" ht="18.75" customHeight="1" x14ac:dyDescent="0.3">
      <c r="B63" s="108">
        <v>34</v>
      </c>
      <c r="C63" s="166" t="s">
        <v>516</v>
      </c>
      <c r="D63" s="43"/>
      <c r="E63" s="163" t="s">
        <v>514</v>
      </c>
      <c r="F63" s="42" t="s">
        <v>515</v>
      </c>
      <c r="G63" s="10" t="s">
        <v>1</v>
      </c>
      <c r="H63" s="91"/>
      <c r="I63" s="91"/>
      <c r="J63" s="91" t="s">
        <v>48</v>
      </c>
      <c r="K63" s="91" t="s">
        <v>48</v>
      </c>
      <c r="L63" s="91" t="s">
        <v>48</v>
      </c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12">
        <f t="shared" si="3"/>
        <v>3</v>
      </c>
      <c r="AM63" s="169">
        <v>1000</v>
      </c>
      <c r="AN63" s="36">
        <f t="shared" si="4"/>
        <v>3000</v>
      </c>
      <c r="AO63" s="167" t="s">
        <v>821</v>
      </c>
    </row>
    <row r="64" spans="2:41" ht="18" customHeight="1" x14ac:dyDescent="0.3">
      <c r="B64" s="108">
        <v>35</v>
      </c>
      <c r="C64" s="166" t="s">
        <v>518</v>
      </c>
      <c r="D64" s="43"/>
      <c r="E64" s="163" t="s">
        <v>517</v>
      </c>
      <c r="F64" s="42" t="s">
        <v>395</v>
      </c>
      <c r="G64" s="10" t="s">
        <v>1</v>
      </c>
      <c r="H64" s="91" t="s">
        <v>48</v>
      </c>
      <c r="I64" s="91"/>
      <c r="J64" s="91" t="s">
        <v>48</v>
      </c>
      <c r="K64" s="91" t="s">
        <v>48</v>
      </c>
      <c r="L64" s="91" t="s">
        <v>48</v>
      </c>
      <c r="M64" s="91" t="s">
        <v>48</v>
      </c>
      <c r="N64" s="91" t="s">
        <v>48</v>
      </c>
      <c r="O64" s="91" t="s">
        <v>48</v>
      </c>
      <c r="P64" s="91"/>
      <c r="Q64" s="91"/>
      <c r="R64" s="91"/>
      <c r="S64" s="91"/>
      <c r="T64" s="91" t="s">
        <v>48</v>
      </c>
      <c r="U64" s="91" t="s">
        <v>48</v>
      </c>
      <c r="V64" s="91" t="s">
        <v>48</v>
      </c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12">
        <f t="shared" si="3"/>
        <v>10</v>
      </c>
      <c r="AM64" s="169">
        <v>1000</v>
      </c>
      <c r="AN64" s="36">
        <f t="shared" si="4"/>
        <v>10000</v>
      </c>
      <c r="AO64" s="167" t="s">
        <v>821</v>
      </c>
    </row>
    <row r="65" spans="2:41" ht="18" customHeight="1" x14ac:dyDescent="0.3">
      <c r="B65" s="108">
        <v>36</v>
      </c>
      <c r="C65" s="171" t="s">
        <v>822</v>
      </c>
      <c r="D65" s="43"/>
      <c r="E65" s="163" t="s">
        <v>396</v>
      </c>
      <c r="F65" s="42" t="s">
        <v>397</v>
      </c>
      <c r="G65" s="10" t="s">
        <v>1</v>
      </c>
      <c r="H65" s="91"/>
      <c r="I65" s="91"/>
      <c r="J65" s="91" t="s">
        <v>48</v>
      </c>
      <c r="K65" s="91" t="s">
        <v>48</v>
      </c>
      <c r="L65" s="91" t="s">
        <v>48</v>
      </c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12">
        <f t="shared" si="3"/>
        <v>3</v>
      </c>
      <c r="AM65" s="169">
        <v>1000</v>
      </c>
      <c r="AN65" s="36">
        <f t="shared" si="4"/>
        <v>3000</v>
      </c>
      <c r="AO65" s="167" t="s">
        <v>821</v>
      </c>
    </row>
    <row r="66" spans="2:41" ht="18" customHeight="1" x14ac:dyDescent="0.3">
      <c r="B66" s="108">
        <v>37</v>
      </c>
      <c r="C66" s="166" t="s">
        <v>521</v>
      </c>
      <c r="D66" s="43"/>
      <c r="E66" s="163" t="s">
        <v>519</v>
      </c>
      <c r="F66" s="42" t="s">
        <v>520</v>
      </c>
      <c r="G66" s="10" t="s">
        <v>1</v>
      </c>
      <c r="H66" s="91"/>
      <c r="I66" s="91"/>
      <c r="J66" s="91" t="s">
        <v>48</v>
      </c>
      <c r="K66" s="91" t="s">
        <v>48</v>
      </c>
      <c r="L66" s="91" t="s">
        <v>48</v>
      </c>
      <c r="M66" s="91" t="s">
        <v>48</v>
      </c>
      <c r="N66" s="91" t="s">
        <v>48</v>
      </c>
      <c r="O66" s="91" t="s">
        <v>48</v>
      </c>
      <c r="P66" s="91"/>
      <c r="Q66" s="91"/>
      <c r="R66" s="91"/>
      <c r="S66" s="91"/>
      <c r="T66" s="91" t="s">
        <v>48</v>
      </c>
      <c r="U66" s="91" t="s">
        <v>48</v>
      </c>
      <c r="V66" s="91" t="s">
        <v>48</v>
      </c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12">
        <f t="shared" si="3"/>
        <v>9</v>
      </c>
      <c r="AM66" s="169">
        <v>1000</v>
      </c>
      <c r="AN66" s="36">
        <f t="shared" si="4"/>
        <v>9000</v>
      </c>
      <c r="AO66" s="167" t="s">
        <v>821</v>
      </c>
    </row>
    <row r="67" spans="2:41" ht="18" customHeight="1" x14ac:dyDescent="0.3">
      <c r="B67" s="108">
        <v>38</v>
      </c>
      <c r="C67" s="110" t="s">
        <v>647</v>
      </c>
      <c r="D67" s="43"/>
      <c r="E67" s="42" t="s">
        <v>645</v>
      </c>
      <c r="F67" s="42" t="s">
        <v>646</v>
      </c>
      <c r="G67" s="10" t="s">
        <v>1</v>
      </c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 t="s">
        <v>48</v>
      </c>
      <c r="Y67" s="92" t="s">
        <v>48</v>
      </c>
      <c r="Z67" s="92" t="s">
        <v>48</v>
      </c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12">
        <f t="shared" si="3"/>
        <v>3</v>
      </c>
      <c r="AM67" s="57">
        <v>700</v>
      </c>
      <c r="AN67" s="36">
        <f t="shared" si="4"/>
        <v>2100</v>
      </c>
    </row>
    <row r="68" spans="2:41" ht="18" customHeight="1" x14ac:dyDescent="0.3">
      <c r="B68" s="108">
        <v>39</v>
      </c>
      <c r="C68" s="110" t="s">
        <v>649</v>
      </c>
      <c r="D68" s="43"/>
      <c r="E68" s="42" t="s">
        <v>648</v>
      </c>
      <c r="F68" s="42" t="s">
        <v>631</v>
      </c>
      <c r="G68" s="10" t="s">
        <v>1</v>
      </c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 t="s">
        <v>48</v>
      </c>
      <c r="Y68" s="92" t="s">
        <v>48</v>
      </c>
      <c r="Z68" s="92" t="s">
        <v>48</v>
      </c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12">
        <f t="shared" si="3"/>
        <v>3</v>
      </c>
      <c r="AM68" s="57">
        <v>700</v>
      </c>
      <c r="AN68" s="36">
        <f t="shared" si="4"/>
        <v>2100</v>
      </c>
    </row>
    <row r="69" spans="2:41" ht="18" customHeight="1" x14ac:dyDescent="0.3">
      <c r="B69" s="108">
        <v>40</v>
      </c>
      <c r="C69" s="171" t="s">
        <v>523</v>
      </c>
      <c r="D69" s="43"/>
      <c r="E69" s="164" t="s">
        <v>522</v>
      </c>
      <c r="F69" s="43" t="s">
        <v>215</v>
      </c>
      <c r="G69" s="10" t="s">
        <v>1</v>
      </c>
      <c r="H69" s="91"/>
      <c r="I69" s="91"/>
      <c r="J69" s="91" t="s">
        <v>48</v>
      </c>
      <c r="K69" s="91" t="s">
        <v>48</v>
      </c>
      <c r="L69" s="91" t="s">
        <v>48</v>
      </c>
      <c r="M69" s="91" t="s">
        <v>48</v>
      </c>
      <c r="N69" s="91" t="s">
        <v>48</v>
      </c>
      <c r="O69" s="91" t="s">
        <v>48</v>
      </c>
      <c r="P69" s="91"/>
      <c r="Q69" s="91"/>
      <c r="R69" s="91"/>
      <c r="S69" s="91"/>
      <c r="T69" s="91" t="s">
        <v>48</v>
      </c>
      <c r="U69" s="91" t="s">
        <v>48</v>
      </c>
      <c r="V69" s="91" t="s">
        <v>48</v>
      </c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12">
        <f t="shared" si="3"/>
        <v>9</v>
      </c>
      <c r="AM69" s="169">
        <v>1000</v>
      </c>
      <c r="AN69" s="36">
        <f t="shared" si="4"/>
        <v>9000</v>
      </c>
      <c r="AO69" s="167" t="s">
        <v>821</v>
      </c>
    </row>
    <row r="70" spans="2:41" ht="18" customHeight="1" x14ac:dyDescent="0.3">
      <c r="B70" s="108">
        <v>41</v>
      </c>
      <c r="C70" s="110" t="s">
        <v>763</v>
      </c>
      <c r="D70" s="43"/>
      <c r="E70" s="42" t="s">
        <v>734</v>
      </c>
      <c r="F70" s="42" t="s">
        <v>735</v>
      </c>
      <c r="G70" s="10" t="s">
        <v>1</v>
      </c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22" t="s">
        <v>48</v>
      </c>
      <c r="AJ70" s="122" t="s">
        <v>412</v>
      </c>
      <c r="AK70" s="122" t="s">
        <v>412</v>
      </c>
      <c r="AL70" s="12">
        <f t="shared" si="3"/>
        <v>5</v>
      </c>
      <c r="AM70" s="57">
        <v>700</v>
      </c>
      <c r="AN70" s="36">
        <f t="shared" si="4"/>
        <v>3500</v>
      </c>
    </row>
    <row r="71" spans="2:41" ht="18" customHeight="1" x14ac:dyDescent="0.3">
      <c r="B71" s="108">
        <v>42</v>
      </c>
      <c r="C71" s="106" t="s">
        <v>764</v>
      </c>
      <c r="D71" s="43"/>
      <c r="E71" s="42" t="s">
        <v>736</v>
      </c>
      <c r="F71" s="42" t="s">
        <v>737</v>
      </c>
      <c r="G71" s="10" t="s">
        <v>1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22" t="s">
        <v>48</v>
      </c>
      <c r="AJ71" s="122" t="s">
        <v>412</v>
      </c>
      <c r="AK71" s="122" t="s">
        <v>412</v>
      </c>
      <c r="AL71" s="12">
        <f t="shared" si="3"/>
        <v>5</v>
      </c>
      <c r="AM71" s="57">
        <v>700</v>
      </c>
      <c r="AN71" s="36">
        <f t="shared" si="4"/>
        <v>3500</v>
      </c>
    </row>
    <row r="72" spans="2:41" ht="18" customHeight="1" x14ac:dyDescent="0.3">
      <c r="B72" s="108">
        <v>43</v>
      </c>
      <c r="C72" s="106" t="s">
        <v>765</v>
      </c>
      <c r="D72" s="43"/>
      <c r="E72" s="42" t="s">
        <v>738</v>
      </c>
      <c r="F72" s="42" t="s">
        <v>739</v>
      </c>
      <c r="G72" s="106" t="s">
        <v>1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122" t="s">
        <v>48</v>
      </c>
      <c r="AJ72" s="122" t="s">
        <v>412</v>
      </c>
      <c r="AK72" s="122" t="s">
        <v>412</v>
      </c>
      <c r="AL72" s="12">
        <f t="shared" si="3"/>
        <v>5</v>
      </c>
      <c r="AM72" s="57">
        <v>700</v>
      </c>
      <c r="AN72" s="36">
        <f t="shared" si="4"/>
        <v>3500</v>
      </c>
    </row>
    <row r="73" spans="2:41" ht="18" customHeight="1" x14ac:dyDescent="0.3">
      <c r="B73" s="108">
        <v>44</v>
      </c>
      <c r="C73" s="106" t="s">
        <v>766</v>
      </c>
      <c r="D73" s="43"/>
      <c r="E73" s="43" t="s">
        <v>740</v>
      </c>
      <c r="F73" s="43" t="s">
        <v>775</v>
      </c>
      <c r="G73" s="106" t="s">
        <v>1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122" t="s">
        <v>48</v>
      </c>
      <c r="AJ73" s="122" t="s">
        <v>412</v>
      </c>
      <c r="AK73" s="122" t="s">
        <v>412</v>
      </c>
      <c r="AL73" s="12">
        <f t="shared" si="3"/>
        <v>5</v>
      </c>
      <c r="AM73" s="57">
        <v>700</v>
      </c>
      <c r="AN73" s="36">
        <f t="shared" si="4"/>
        <v>3500</v>
      </c>
    </row>
    <row r="74" spans="2:41" ht="18" customHeight="1" x14ac:dyDescent="0.3">
      <c r="B74" s="108">
        <v>45</v>
      </c>
      <c r="C74" s="10">
        <v>34000</v>
      </c>
      <c r="D74" s="43"/>
      <c r="E74" s="43" t="s">
        <v>245</v>
      </c>
      <c r="F74" s="43" t="s">
        <v>117</v>
      </c>
      <c r="G74" s="106" t="s">
        <v>1</v>
      </c>
      <c r="H74" s="9" t="s">
        <v>48</v>
      </c>
      <c r="I74" s="9"/>
      <c r="J74" s="9" t="s">
        <v>48</v>
      </c>
      <c r="K74" s="9" t="s">
        <v>48</v>
      </c>
      <c r="L74" s="9" t="s">
        <v>48</v>
      </c>
      <c r="M74" s="9"/>
      <c r="N74" s="9" t="s">
        <v>48</v>
      </c>
      <c r="O74" s="9" t="s">
        <v>48</v>
      </c>
      <c r="P74" s="9" t="s">
        <v>48</v>
      </c>
      <c r="Q74" s="9"/>
      <c r="R74" s="9"/>
      <c r="S74" s="9" t="s">
        <v>290</v>
      </c>
      <c r="T74" s="9" t="s">
        <v>290</v>
      </c>
      <c r="U74" s="9" t="s">
        <v>290</v>
      </c>
      <c r="V74" s="9"/>
      <c r="W74" s="9"/>
      <c r="X74" s="9" t="s">
        <v>48</v>
      </c>
      <c r="Y74" s="9" t="s">
        <v>48</v>
      </c>
      <c r="Z74" s="9" t="s">
        <v>48</v>
      </c>
      <c r="AA74" s="9"/>
      <c r="AB74" s="9" t="s">
        <v>48</v>
      </c>
      <c r="AC74" s="9" t="s">
        <v>48</v>
      </c>
      <c r="AD74" s="9" t="s">
        <v>48</v>
      </c>
      <c r="AE74" s="9"/>
      <c r="AF74" s="9"/>
      <c r="AG74" s="9"/>
      <c r="AH74" s="9" t="s">
        <v>48</v>
      </c>
      <c r="AI74" s="9" t="s">
        <v>48</v>
      </c>
      <c r="AJ74" s="9" t="s">
        <v>48</v>
      </c>
      <c r="AK74" s="9"/>
      <c r="AL74" s="12">
        <f t="shared" si="3"/>
        <v>19</v>
      </c>
      <c r="AM74" s="57">
        <v>700</v>
      </c>
      <c r="AN74" s="36">
        <f t="shared" si="4"/>
        <v>13300</v>
      </c>
    </row>
    <row r="75" spans="2:41" ht="18" customHeight="1" x14ac:dyDescent="0.3">
      <c r="B75" s="108">
        <v>46</v>
      </c>
      <c r="C75" s="10">
        <v>34073</v>
      </c>
      <c r="D75" s="43"/>
      <c r="E75" s="43" t="s">
        <v>246</v>
      </c>
      <c r="F75" s="43" t="s">
        <v>247</v>
      </c>
      <c r="G75" s="106" t="s">
        <v>1</v>
      </c>
      <c r="H75" s="9" t="s">
        <v>48</v>
      </c>
      <c r="I75" s="9"/>
      <c r="J75" s="9" t="s">
        <v>48</v>
      </c>
      <c r="K75" s="9" t="s">
        <v>48</v>
      </c>
      <c r="L75" s="9" t="s">
        <v>48</v>
      </c>
      <c r="M75" s="9"/>
      <c r="N75" s="9" t="s">
        <v>48</v>
      </c>
      <c r="O75" s="9" t="s">
        <v>48</v>
      </c>
      <c r="P75" s="9" t="s">
        <v>48</v>
      </c>
      <c r="Q75" s="9"/>
      <c r="R75" s="9"/>
      <c r="S75" s="9" t="s">
        <v>290</v>
      </c>
      <c r="T75" s="9" t="s">
        <v>290</v>
      </c>
      <c r="U75" s="9" t="s">
        <v>290</v>
      </c>
      <c r="V75" s="9"/>
      <c r="W75" s="9"/>
      <c r="X75" s="9"/>
      <c r="Y75" s="9"/>
      <c r="Z75" s="9"/>
      <c r="AA75" s="9"/>
      <c r="AB75" s="9" t="s">
        <v>48</v>
      </c>
      <c r="AC75" s="9" t="s">
        <v>48</v>
      </c>
      <c r="AD75" s="9" t="s">
        <v>48</v>
      </c>
      <c r="AE75" s="9"/>
      <c r="AF75" s="9"/>
      <c r="AG75" s="9"/>
      <c r="AH75" s="9" t="s">
        <v>48</v>
      </c>
      <c r="AI75" s="9" t="s">
        <v>48</v>
      </c>
      <c r="AJ75" s="9" t="s">
        <v>48</v>
      </c>
      <c r="AK75" s="9"/>
      <c r="AL75" s="12">
        <f t="shared" si="3"/>
        <v>16</v>
      </c>
      <c r="AM75" s="57">
        <v>700</v>
      </c>
      <c r="AN75" s="36">
        <f t="shared" si="4"/>
        <v>11200</v>
      </c>
    </row>
    <row r="76" spans="2:41" ht="18" customHeight="1" x14ac:dyDescent="0.3">
      <c r="B76" s="128" t="s">
        <v>15</v>
      </c>
      <c r="C76" s="128"/>
      <c r="D76" s="128"/>
      <c r="E76" s="128"/>
      <c r="F76" s="128"/>
      <c r="G76" s="128"/>
      <c r="H76" s="12">
        <f>COUNTIF(H30:H75,"P")+COUNTIF(H30:H75,"PP")+COUNTIF(H30:H75,"PP")</f>
        <v>8</v>
      </c>
      <c r="I76" s="12">
        <f>COUNTIF(I30:I75,"P")+COUNTIF(I30:I75,"PP")+COUNTIF(I30:I75,"PP")</f>
        <v>3</v>
      </c>
      <c r="J76" s="12">
        <f>COUNTIF(J30:J75,"P")+COUNTIF(J30:J75,"PP")+COUNTIF(J30:J75,"PP")</f>
        <v>11</v>
      </c>
      <c r="K76" s="12">
        <f>COUNTIF(K30:K75,"P")+COUNTIF(K30:K75,"PP")+COUNTIF(K30:K75,"PP")</f>
        <v>11</v>
      </c>
      <c r="L76" s="12">
        <f>COUNTIF(L30:L75,"P")+COUNTIF(L30:L75,"PP")+COUNTIF(L30:L75,"PP")</f>
        <v>11</v>
      </c>
      <c r="M76" s="12">
        <f>COUNTIF(M30:M75,"P")+COUNTIF(M30:M75,"PP")+COUNTIF(M30:M75,"PP")</f>
        <v>10</v>
      </c>
      <c r="N76" s="12">
        <f>COUNTIF(N30:N75,"P")+COUNTIF(N30:N75,"PP")+COUNTIF(N30:N75,"PP")</f>
        <v>19</v>
      </c>
      <c r="O76" s="12">
        <f>COUNTIF(O30:O75,"P")+COUNTIF(O30:O75,"PP")+COUNTIF(O30:O75,"PP")</f>
        <v>19</v>
      </c>
      <c r="P76" s="12">
        <f>COUNTIF(P30:P75,"P")+COUNTIF(P30:P75,"PP")+COUNTIF(P30:P75,"PP")</f>
        <v>9</v>
      </c>
      <c r="Q76" s="12">
        <f>COUNTIF(Q30:Q75,"P")+COUNTIF(Q30:Q75,"PP")+COUNTIF(Q30:Q75,"PP")</f>
        <v>11</v>
      </c>
      <c r="R76" s="12">
        <f>COUNTIF(R30:R75,"P")+COUNTIF(R30:R75,"PP")+COUNTIF(R30:R75,"PP")</f>
        <v>11</v>
      </c>
      <c r="S76" s="12">
        <f>COUNTIF(S30:S75,"P")+COUNTIF(S30:S75,"PP")+COUNTIF(S30:S75,"PP")</f>
        <v>13</v>
      </c>
      <c r="T76" s="12">
        <f>COUNTIF(T30:T75,"P")+COUNTIF(T30:T75,"PP")+COUNTIF(T30:T75,"PP")</f>
        <v>21</v>
      </c>
      <c r="U76" s="12">
        <f>COUNTIF(U30:U75,"P")+COUNTIF(U30:U75,"PP")+COUNTIF(U30:U75,"PP")</f>
        <v>21</v>
      </c>
      <c r="V76" s="12">
        <f>COUNTIF(V30:V75,"P")+COUNTIF(V30:V75,"PP")+COUNTIF(V30:V75,"PP")</f>
        <v>19</v>
      </c>
      <c r="W76" s="12">
        <f>COUNTIF(W30:W75,"P")+COUNTIF(W30:W75,"PP")+COUNTIF(W30:W75,"PP")</f>
        <v>14</v>
      </c>
      <c r="X76" s="12">
        <f>COUNTIF(X30:X75,"P")+COUNTIF(X30:X75,"PP")+COUNTIF(X30:X75,"PP")</f>
        <v>19</v>
      </c>
      <c r="Y76" s="12">
        <f>COUNTIF(Y30:Y75,"P")+COUNTIF(Y30:Y75,"PP")+COUNTIF(Y30:Y75,"PP")</f>
        <v>8</v>
      </c>
      <c r="Z76" s="12">
        <f>COUNTIF(Z30:Z75,"P")+COUNTIF(Z30:Z75,"PP")+COUNTIF(Z30:Z75,"PP")</f>
        <v>8</v>
      </c>
      <c r="AA76" s="12">
        <f>COUNTIF(AA30:AA75,"P")+COUNTIF(AA30:AA75,"PP")+COUNTIF(AA30:AA75,"PP")</f>
        <v>11</v>
      </c>
      <c r="AB76" s="12">
        <f>COUNTIF(AB30:AB75,"P")+COUNTIF(AB30:AB75,"PP")+COUNTIF(AB30:AB75,"PP")</f>
        <v>20</v>
      </c>
      <c r="AC76" s="12">
        <f>COUNTIF(AC30:AC75,"P")+COUNTIF(AC30:AC75,"PP")+COUNTIF(AC30:AC75,"PP")</f>
        <v>20</v>
      </c>
      <c r="AD76" s="12">
        <f>COUNTIF(AD30:AD75,"P")+COUNTIF(AD30:AD75,"PP")+COUNTIF(AD30:AD75,"PP")</f>
        <v>20</v>
      </c>
      <c r="AE76" s="12">
        <f>COUNTIF(AE30:AE75,"P")+COUNTIF(AE30:AE75,"PP")+COUNTIF(AE30:AE75,"PP")</f>
        <v>9</v>
      </c>
      <c r="AF76" s="12">
        <f>COUNTIF(AF30:AF75,"P")+COUNTIF(AF30:AF75,"PP")+COUNTIF(AF30:AF75,"PP")</f>
        <v>9</v>
      </c>
      <c r="AG76" s="12">
        <f>COUNTIF(AG30:AG75,"P")+COUNTIF(AG30:AG75,"PP")+COUNTIF(AG30:AG75,"PP")</f>
        <v>9</v>
      </c>
      <c r="AH76" s="12">
        <f>COUNTIF(AH30:AH75,"P")+COUNTIF(AH30:AH75,"PP")+COUNTIF(AH30:AH75,"PP")</f>
        <v>6</v>
      </c>
      <c r="AI76" s="12">
        <f>COUNTIF(AI30:AI75,"P")+COUNTIF(AI30:AI75,"PP")+COUNTIF(AI30:AI75,"PP")</f>
        <v>16</v>
      </c>
      <c r="AJ76" s="12">
        <f>COUNTIF(AJ30:AJ75,"P")+COUNTIF(AJ30:AJ75,"PP")+COUNTIF(AJ30:AJ75,"PP")</f>
        <v>26</v>
      </c>
      <c r="AK76" s="12">
        <f>COUNTIF(AK30:AK75,"P")+COUNTIF(AK30:AK75,"PP")+COUNTIF(AK30:AK75,"PP")</f>
        <v>20</v>
      </c>
      <c r="AL76" s="28">
        <f>SUM(AL30:AL75)</f>
        <v>412</v>
      </c>
      <c r="AM76" s="35"/>
      <c r="AN76" s="37">
        <f>SUM(AN30:AN75)</f>
        <v>313600</v>
      </c>
    </row>
    <row r="79" spans="2:41" ht="18" customHeight="1" x14ac:dyDescent="0.3">
      <c r="B79" s="134" t="s">
        <v>474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37">
        <f>AN24+AN76</f>
        <v>370250</v>
      </c>
    </row>
  </sheetData>
  <mergeCells count="11">
    <mergeCell ref="B79:AM79"/>
    <mergeCell ref="AM2:AM4"/>
    <mergeCell ref="AN2:AN4"/>
    <mergeCell ref="AM27:AM29"/>
    <mergeCell ref="AN27:AN29"/>
    <mergeCell ref="B76:G76"/>
    <mergeCell ref="B2:AL2"/>
    <mergeCell ref="B3:AL3"/>
    <mergeCell ref="B24:G24"/>
    <mergeCell ref="B27:AL27"/>
    <mergeCell ref="B28:AL28"/>
  </mergeCells>
  <conditionalFormatting sqref="C3">
    <cfRule type="duplicateValues" dxfId="209" priority="82"/>
  </conditionalFormatting>
  <conditionalFormatting sqref="C4">
    <cfRule type="duplicateValues" dxfId="208" priority="83"/>
  </conditionalFormatting>
  <conditionalFormatting sqref="C5">
    <cfRule type="duplicateValues" dxfId="207" priority="50"/>
  </conditionalFormatting>
  <conditionalFormatting sqref="C28">
    <cfRule type="duplicateValues" dxfId="206" priority="65"/>
  </conditionalFormatting>
  <conditionalFormatting sqref="C29">
    <cfRule type="duplicateValues" dxfId="205" priority="66"/>
  </conditionalFormatting>
  <conditionalFormatting sqref="C5:F5">
    <cfRule type="duplicateValues" dxfId="204" priority="48"/>
  </conditionalFormatting>
  <conditionalFormatting sqref="C6:F6">
    <cfRule type="duplicateValues" dxfId="203" priority="47"/>
  </conditionalFormatting>
  <conditionalFormatting sqref="C7:F7">
    <cfRule type="duplicateValues" dxfId="202" priority="71"/>
  </conditionalFormatting>
  <conditionalFormatting sqref="C8:F8">
    <cfRule type="duplicateValues" dxfId="201" priority="75"/>
  </conditionalFormatting>
  <conditionalFormatting sqref="C9:F9">
    <cfRule type="duplicateValues" dxfId="200" priority="77"/>
  </conditionalFormatting>
  <conditionalFormatting sqref="C10:F10">
    <cfRule type="duplicateValues" dxfId="199" priority="76"/>
  </conditionalFormatting>
  <conditionalFormatting sqref="C11:F11">
    <cfRule type="duplicateValues" dxfId="198" priority="73"/>
  </conditionalFormatting>
  <conditionalFormatting sqref="C23:F23">
    <cfRule type="duplicateValues" dxfId="197" priority="68"/>
  </conditionalFormatting>
  <conditionalFormatting sqref="C30:F30">
    <cfRule type="duplicateValues" dxfId="196" priority="63"/>
  </conditionalFormatting>
  <conditionalFormatting sqref="C31:F32 D33:F33">
    <cfRule type="duplicateValues" dxfId="195" priority="62"/>
  </conditionalFormatting>
  <conditionalFormatting sqref="C35:F35">
    <cfRule type="duplicateValues" dxfId="194" priority="54"/>
  </conditionalFormatting>
  <conditionalFormatting sqref="C36:F36">
    <cfRule type="duplicateValues" dxfId="193" priority="58"/>
  </conditionalFormatting>
  <conditionalFormatting sqref="C71:F71">
    <cfRule type="duplicateValues" dxfId="192" priority="56"/>
  </conditionalFormatting>
  <conditionalFormatting sqref="C72:F72">
    <cfRule type="duplicateValues" dxfId="191" priority="53"/>
  </conditionalFormatting>
  <conditionalFormatting sqref="C73:F74">
    <cfRule type="duplicateValues" dxfId="190" priority="52"/>
  </conditionalFormatting>
  <conditionalFormatting sqref="C75:F75">
    <cfRule type="duplicateValues" dxfId="189" priority="51"/>
  </conditionalFormatting>
  <conditionalFormatting sqref="C16:F16">
    <cfRule type="duplicateValues" dxfId="188" priority="42"/>
  </conditionalFormatting>
  <conditionalFormatting sqref="C17:F17">
    <cfRule type="duplicateValues" dxfId="187" priority="41"/>
  </conditionalFormatting>
  <conditionalFormatting sqref="C18:F18">
    <cfRule type="duplicateValues" dxfId="186" priority="38"/>
  </conditionalFormatting>
  <conditionalFormatting sqref="C19:F19">
    <cfRule type="duplicateValues" dxfId="185" priority="40"/>
  </conditionalFormatting>
  <conditionalFormatting sqref="C20:F20">
    <cfRule type="duplicateValues" dxfId="184" priority="36"/>
  </conditionalFormatting>
  <conditionalFormatting sqref="C21:F22">
    <cfRule type="duplicateValues" dxfId="183" priority="33"/>
  </conditionalFormatting>
  <conditionalFormatting sqref="H3:AK13 H16:AK23 H28:AK75">
    <cfRule type="cellIs" dxfId="182" priority="49" operator="equal">
      <formula>"a"</formula>
    </cfRule>
  </conditionalFormatting>
  <conditionalFormatting sqref="C14:C15">
    <cfRule type="duplicateValues" dxfId="181" priority="22"/>
  </conditionalFormatting>
  <conditionalFormatting sqref="C14:F14">
    <cfRule type="duplicateValues" dxfId="180" priority="20"/>
  </conditionalFormatting>
  <conditionalFormatting sqref="C15:F15">
    <cfRule type="duplicateValues" dxfId="179" priority="21"/>
  </conditionalFormatting>
  <conditionalFormatting sqref="H14:AK15">
    <cfRule type="cellIs" dxfId="178" priority="23" operator="equal">
      <formula>"a"</formula>
    </cfRule>
  </conditionalFormatting>
  <conditionalFormatting sqref="C16:C22">
    <cfRule type="duplicateValues" dxfId="177" priority="1813"/>
  </conditionalFormatting>
  <conditionalFormatting sqref="C23 C6:C13">
    <cfRule type="duplicateValues" dxfId="176" priority="1833"/>
  </conditionalFormatting>
  <conditionalFormatting sqref="C12:F13">
    <cfRule type="duplicateValues" dxfId="175" priority="1835"/>
  </conditionalFormatting>
  <conditionalFormatting sqref="C56:F64 C66:F70 D65:F65">
    <cfRule type="duplicateValues" dxfId="174" priority="1843"/>
  </conditionalFormatting>
  <conditionalFormatting sqref="C40">
    <cfRule type="duplicateValues" dxfId="173" priority="19"/>
  </conditionalFormatting>
  <conditionalFormatting sqref="C37:F40 C53:F55 D52:F52 C43:F51 D41:F42">
    <cfRule type="duplicateValues" dxfId="171" priority="1968"/>
  </conditionalFormatting>
  <conditionalFormatting sqref="C31:C32 C35:C40 C53:C64 C66:C75 C43:C51">
    <cfRule type="duplicateValues" dxfId="170" priority="1972"/>
  </conditionalFormatting>
  <conditionalFormatting sqref="C52">
    <cfRule type="duplicateValues" dxfId="169" priority="11"/>
  </conditionalFormatting>
  <conditionalFormatting sqref="C52">
    <cfRule type="duplicateValues" dxfId="168" priority="12"/>
  </conditionalFormatting>
  <conditionalFormatting sqref="C65">
    <cfRule type="duplicateValues" dxfId="167" priority="9"/>
  </conditionalFormatting>
  <conditionalFormatting sqref="C65">
    <cfRule type="duplicateValues" dxfId="166" priority="10"/>
  </conditionalFormatting>
  <conditionalFormatting sqref="C33">
    <cfRule type="duplicateValues" dxfId="165" priority="5"/>
  </conditionalFormatting>
  <conditionalFormatting sqref="C33">
    <cfRule type="duplicateValues" dxfId="164" priority="6"/>
  </conditionalFormatting>
  <conditionalFormatting sqref="C41">
    <cfRule type="duplicateValues" dxfId="163" priority="3"/>
  </conditionalFormatting>
  <conditionalFormatting sqref="C41">
    <cfRule type="duplicateValues" dxfId="162" priority="4"/>
  </conditionalFormatting>
  <conditionalFormatting sqref="C42">
    <cfRule type="duplicateValues" dxfId="161" priority="1"/>
  </conditionalFormatting>
  <conditionalFormatting sqref="C42">
    <cfRule type="duplicateValues" dxfId="160" priority="2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10"/>
  <sheetViews>
    <sheetView workbookViewId="0">
      <selection activeCell="V27" sqref="V27"/>
    </sheetView>
  </sheetViews>
  <sheetFormatPr defaultColWidth="9.33203125" defaultRowHeight="14.4" x14ac:dyDescent="0.3"/>
  <cols>
    <col min="1" max="1" width="3.5546875" style="4" customWidth="1"/>
    <col min="2" max="2" width="5.33203125" style="1" customWidth="1"/>
    <col min="3" max="3" width="9.33203125" style="1" customWidth="1"/>
    <col min="4" max="4" width="7.21875" style="1" customWidth="1"/>
    <col min="5" max="5" width="15.6640625" style="2" customWidth="1"/>
    <col min="6" max="6" width="15.6640625" style="1" customWidth="1"/>
    <col min="7" max="7" width="5.5546875" style="1" customWidth="1"/>
    <col min="8" max="38" width="3.6640625" style="1" customWidth="1"/>
    <col min="39" max="39" width="5.88671875" style="1" customWidth="1"/>
    <col min="40" max="40" width="9.44140625" style="1" customWidth="1"/>
    <col min="41" max="41" width="14" style="1" customWidth="1"/>
    <col min="42" max="16384" width="9.33203125" style="1"/>
  </cols>
  <sheetData>
    <row r="2" spans="1:41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6"/>
      <c r="AN2" s="130" t="s">
        <v>471</v>
      </c>
      <c r="AO2" s="129" t="s">
        <v>475</v>
      </c>
    </row>
    <row r="3" spans="1:41" ht="18" customHeight="1" x14ac:dyDescent="0.3">
      <c r="B3" s="136" t="s">
        <v>476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0"/>
      <c r="AO3" s="129"/>
    </row>
    <row r="4" spans="1:41" s="24" customFormat="1" ht="18" customHeight="1" x14ac:dyDescent="0.3">
      <c r="A4" s="62"/>
      <c r="B4" s="46" t="s">
        <v>466</v>
      </c>
      <c r="C4" s="46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6">
        <v>31</v>
      </c>
      <c r="AM4" s="48" t="s">
        <v>6</v>
      </c>
      <c r="AN4" s="130"/>
      <c r="AO4" s="129"/>
    </row>
    <row r="5" spans="1:41" ht="18" customHeight="1" x14ac:dyDescent="0.3">
      <c r="B5" s="8">
        <v>1</v>
      </c>
      <c r="C5" s="110" t="s">
        <v>450</v>
      </c>
      <c r="D5" s="10"/>
      <c r="E5" s="21" t="s">
        <v>448</v>
      </c>
      <c r="F5" s="21" t="s">
        <v>449</v>
      </c>
      <c r="G5" s="11" t="s"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12">
        <f t="shared" ref="AM5:AM9" si="0">COUNTIF(H5:AL5,"p")</f>
        <v>0</v>
      </c>
      <c r="AN5" s="26">
        <v>600</v>
      </c>
      <c r="AO5" s="26">
        <f>AM5*AN5</f>
        <v>0</v>
      </c>
    </row>
    <row r="6" spans="1:41" ht="18" customHeight="1" x14ac:dyDescent="0.3">
      <c r="B6" s="8">
        <v>2</v>
      </c>
      <c r="C6" s="110" t="s">
        <v>438</v>
      </c>
      <c r="D6" s="10"/>
      <c r="E6" s="21" t="s">
        <v>149</v>
      </c>
      <c r="F6" s="21" t="s">
        <v>306</v>
      </c>
      <c r="G6" s="11" t="s"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2">
        <f t="shared" si="0"/>
        <v>0</v>
      </c>
      <c r="AN6" s="26">
        <v>600</v>
      </c>
      <c r="AO6" s="26">
        <f t="shared" ref="AO6:AO9" si="1">AM6*AN6</f>
        <v>0</v>
      </c>
    </row>
    <row r="7" spans="1:41" ht="18" customHeight="1" x14ac:dyDescent="0.3">
      <c r="B7" s="8">
        <v>3</v>
      </c>
      <c r="C7" s="10" t="s">
        <v>430</v>
      </c>
      <c r="D7" s="10"/>
      <c r="E7" s="20" t="s">
        <v>428</v>
      </c>
      <c r="F7" s="20" t="s">
        <v>429</v>
      </c>
      <c r="G7" s="10" t="s">
        <v>1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12">
        <f t="shared" si="0"/>
        <v>0</v>
      </c>
      <c r="AN7" s="26">
        <v>550</v>
      </c>
      <c r="AO7" s="26">
        <f t="shared" si="1"/>
        <v>0</v>
      </c>
    </row>
    <row r="8" spans="1:41" ht="18" customHeight="1" x14ac:dyDescent="0.3">
      <c r="B8" s="8">
        <v>4</v>
      </c>
      <c r="C8" s="110" t="s">
        <v>420</v>
      </c>
      <c r="D8" s="10"/>
      <c r="E8" s="21" t="s">
        <v>283</v>
      </c>
      <c r="F8" s="21" t="s">
        <v>93</v>
      </c>
      <c r="G8" s="10" t="s">
        <v>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12">
        <f t="shared" si="0"/>
        <v>0</v>
      </c>
      <c r="AN8" s="26">
        <v>550</v>
      </c>
      <c r="AO8" s="26">
        <f t="shared" si="1"/>
        <v>0</v>
      </c>
    </row>
    <row r="9" spans="1:41" ht="18" customHeight="1" x14ac:dyDescent="0.3">
      <c r="B9" s="8">
        <v>5</v>
      </c>
      <c r="C9" s="110" t="s">
        <v>334</v>
      </c>
      <c r="D9" s="10"/>
      <c r="E9" s="21" t="s">
        <v>188</v>
      </c>
      <c r="F9" s="21" t="s">
        <v>189</v>
      </c>
      <c r="G9" s="10" t="s"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2">
        <f t="shared" si="0"/>
        <v>0</v>
      </c>
      <c r="AN9" s="26">
        <v>550</v>
      </c>
      <c r="AO9" s="26">
        <f t="shared" si="1"/>
        <v>0</v>
      </c>
    </row>
    <row r="10" spans="1:41" ht="18" customHeight="1" x14ac:dyDescent="0.3">
      <c r="B10" s="128" t="s">
        <v>15</v>
      </c>
      <c r="C10" s="128"/>
      <c r="D10" s="128"/>
      <c r="E10" s="128"/>
      <c r="F10" s="128"/>
      <c r="G10" s="128"/>
      <c r="H10" s="12">
        <f t="shared" ref="H10:AL10" si="2">COUNTIF(H5:H9,"P")</f>
        <v>0</v>
      </c>
      <c r="I10" s="12">
        <f t="shared" si="2"/>
        <v>0</v>
      </c>
      <c r="J10" s="12">
        <f t="shared" si="2"/>
        <v>0</v>
      </c>
      <c r="K10" s="12">
        <f t="shared" si="2"/>
        <v>0</v>
      </c>
      <c r="L10" s="12">
        <f t="shared" si="2"/>
        <v>0</v>
      </c>
      <c r="M10" s="12">
        <f t="shared" si="2"/>
        <v>0</v>
      </c>
      <c r="N10" s="12">
        <f t="shared" si="2"/>
        <v>0</v>
      </c>
      <c r="O10" s="12">
        <f t="shared" si="2"/>
        <v>0</v>
      </c>
      <c r="P10" s="12">
        <f t="shared" si="2"/>
        <v>0</v>
      </c>
      <c r="Q10" s="12">
        <f t="shared" si="2"/>
        <v>0</v>
      </c>
      <c r="R10" s="12">
        <f t="shared" si="2"/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  <c r="AJ10" s="12">
        <f t="shared" si="2"/>
        <v>0</v>
      </c>
      <c r="AK10" s="12">
        <f t="shared" si="2"/>
        <v>0</v>
      </c>
      <c r="AL10" s="12">
        <f t="shared" si="2"/>
        <v>0</v>
      </c>
      <c r="AM10" s="28">
        <f>SUM(AM5:AM9)</f>
        <v>0</v>
      </c>
      <c r="AO10" s="63">
        <f>SUM(AO5:AO9)</f>
        <v>0</v>
      </c>
    </row>
  </sheetData>
  <mergeCells count="5">
    <mergeCell ref="B2:AM2"/>
    <mergeCell ref="B3:AM3"/>
    <mergeCell ref="B10:G10"/>
    <mergeCell ref="AN2:AN4"/>
    <mergeCell ref="AO2:AO4"/>
  </mergeCells>
  <conditionalFormatting sqref="C3">
    <cfRule type="duplicateValues" dxfId="159" priority="15"/>
  </conditionalFormatting>
  <conditionalFormatting sqref="C4">
    <cfRule type="duplicateValues" dxfId="158" priority="16"/>
  </conditionalFormatting>
  <conditionalFormatting sqref="C5:F5">
    <cfRule type="duplicateValues" dxfId="157" priority="13"/>
  </conditionalFormatting>
  <conditionalFormatting sqref="C6:F6">
    <cfRule type="duplicateValues" dxfId="156" priority="12"/>
  </conditionalFormatting>
  <conditionalFormatting sqref="C8:F8">
    <cfRule type="duplicateValues" dxfId="155" priority="4"/>
  </conditionalFormatting>
  <conditionalFormatting sqref="C9:F9">
    <cfRule type="duplicateValues" dxfId="154" priority="8"/>
  </conditionalFormatting>
  <conditionalFormatting sqref="H3:AL9">
    <cfRule type="cellIs" dxfId="153" priority="14" operator="equal">
      <formula>"a"</formula>
    </cfRule>
  </conditionalFormatting>
  <conditionalFormatting sqref="C6 C8:C9">
    <cfRule type="duplicateValues" dxfId="152" priority="196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4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5" sqref="C5"/>
    </sheetView>
  </sheetViews>
  <sheetFormatPr defaultRowHeight="14.4" x14ac:dyDescent="0.3"/>
  <cols>
    <col min="1" max="1" width="3.44140625" style="1" customWidth="1"/>
    <col min="2" max="2" width="5.33203125" style="1" customWidth="1"/>
    <col min="3" max="3" width="7.6640625" style="1" customWidth="1"/>
    <col min="4" max="4" width="7.109375" style="1" customWidth="1"/>
    <col min="5" max="5" width="17.5546875" style="2" customWidth="1"/>
    <col min="6" max="6" width="19.44140625" style="3" bestFit="1" customWidth="1"/>
    <col min="7" max="7" width="5.33203125" style="1" customWidth="1"/>
    <col min="8" max="37" width="3.6640625" style="1" customWidth="1"/>
    <col min="38" max="38" width="5.33203125" customWidth="1"/>
    <col min="39" max="39" width="8.44140625" customWidth="1"/>
    <col min="40" max="40" width="11" customWidth="1"/>
  </cols>
  <sheetData>
    <row r="2" spans="1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29" t="s">
        <v>471</v>
      </c>
      <c r="AN2" s="129" t="s">
        <v>473</v>
      </c>
    </row>
    <row r="3" spans="1:40" ht="18" customHeight="1" x14ac:dyDescent="0.3">
      <c r="B3" s="136" t="s">
        <v>790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29"/>
      <c r="AN3" s="129"/>
    </row>
    <row r="4" spans="1:40" ht="18" customHeight="1" x14ac:dyDescent="0.3">
      <c r="B4" s="46" t="s">
        <v>5</v>
      </c>
      <c r="C4" s="46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29"/>
      <c r="AN4" s="129"/>
    </row>
    <row r="5" spans="1:40" s="23" customFormat="1" ht="18" customHeight="1" x14ac:dyDescent="0.3">
      <c r="A5" s="1"/>
      <c r="B5" s="105">
        <v>1</v>
      </c>
      <c r="C5" s="173" t="s">
        <v>262</v>
      </c>
      <c r="D5" s="10">
        <v>83</v>
      </c>
      <c r="E5" s="21" t="s">
        <v>263</v>
      </c>
      <c r="F5" s="21" t="s">
        <v>264</v>
      </c>
      <c r="G5" s="11" t="s">
        <v>0</v>
      </c>
      <c r="H5" s="9" t="s">
        <v>48</v>
      </c>
      <c r="I5" s="9"/>
      <c r="J5" s="9" t="s">
        <v>48</v>
      </c>
      <c r="K5" s="9" t="s">
        <v>48</v>
      </c>
      <c r="L5" s="9" t="s">
        <v>48</v>
      </c>
      <c r="M5" s="9" t="s">
        <v>48</v>
      </c>
      <c r="N5" s="9" t="s">
        <v>48</v>
      </c>
      <c r="O5" s="9" t="s">
        <v>48</v>
      </c>
      <c r="P5" s="9" t="s">
        <v>48</v>
      </c>
      <c r="Q5" s="9" t="s">
        <v>48</v>
      </c>
      <c r="R5" s="9"/>
      <c r="S5" s="9" t="s">
        <v>48</v>
      </c>
      <c r="T5" s="9" t="s">
        <v>48</v>
      </c>
      <c r="U5" s="9" t="s">
        <v>48</v>
      </c>
      <c r="V5" s="9" t="s">
        <v>48</v>
      </c>
      <c r="W5" s="9"/>
      <c r="X5" s="9" t="s">
        <v>48</v>
      </c>
      <c r="Y5" s="9" t="s">
        <v>48</v>
      </c>
      <c r="Z5" s="9" t="s">
        <v>48</v>
      </c>
      <c r="AA5" s="9" t="s">
        <v>48</v>
      </c>
      <c r="AB5" s="9" t="s">
        <v>48</v>
      </c>
      <c r="AC5" s="9" t="s">
        <v>48</v>
      </c>
      <c r="AD5" s="9" t="s">
        <v>48</v>
      </c>
      <c r="AE5" s="9" t="s">
        <v>48</v>
      </c>
      <c r="AF5" s="9"/>
      <c r="AG5" s="9" t="s">
        <v>48</v>
      </c>
      <c r="AH5" s="9" t="s">
        <v>48</v>
      </c>
      <c r="AI5" s="9" t="s">
        <v>48</v>
      </c>
      <c r="AJ5" s="9" t="s">
        <v>48</v>
      </c>
      <c r="AK5" s="9"/>
      <c r="AL5" s="12">
        <f>COUNTIF(H5:AK5,"p")+COUNTIF(H5:AK5,"pp")+COUNTIF(H5:AK5,"pp")</f>
        <v>25</v>
      </c>
      <c r="AM5" s="36">
        <v>600</v>
      </c>
      <c r="AN5" s="36">
        <f>AL5*AM5</f>
        <v>15000</v>
      </c>
    </row>
    <row r="6" spans="1:40" s="23" customFormat="1" ht="18" customHeight="1" x14ac:dyDescent="0.3">
      <c r="A6" s="1"/>
      <c r="B6" s="105">
        <v>2</v>
      </c>
      <c r="C6" s="173" t="s">
        <v>153</v>
      </c>
      <c r="D6" s="10"/>
      <c r="E6" s="21" t="s">
        <v>157</v>
      </c>
      <c r="F6" s="21" t="s">
        <v>158</v>
      </c>
      <c r="G6" s="11" t="s">
        <v>0</v>
      </c>
      <c r="H6" s="9" t="s">
        <v>48</v>
      </c>
      <c r="I6" s="9" t="s">
        <v>48</v>
      </c>
      <c r="J6" s="9" t="s">
        <v>48</v>
      </c>
      <c r="K6" s="9"/>
      <c r="L6" s="9" t="s">
        <v>48</v>
      </c>
      <c r="M6" s="9" t="s">
        <v>48</v>
      </c>
      <c r="N6" s="9" t="s">
        <v>48</v>
      </c>
      <c r="O6" s="9" t="s">
        <v>48</v>
      </c>
      <c r="P6" s="9"/>
      <c r="Q6" s="9" t="s">
        <v>48</v>
      </c>
      <c r="R6" s="9" t="s">
        <v>48</v>
      </c>
      <c r="S6" s="9" t="s">
        <v>48</v>
      </c>
      <c r="T6" s="9" t="s">
        <v>48</v>
      </c>
      <c r="U6" s="9" t="s">
        <v>48</v>
      </c>
      <c r="V6" s="9" t="s">
        <v>48</v>
      </c>
      <c r="W6" s="9" t="s">
        <v>48</v>
      </c>
      <c r="X6" s="9" t="s">
        <v>48</v>
      </c>
      <c r="Y6" s="9"/>
      <c r="Z6" s="9" t="s">
        <v>48</v>
      </c>
      <c r="AA6" s="9" t="s">
        <v>48</v>
      </c>
      <c r="AB6" s="9" t="s">
        <v>48</v>
      </c>
      <c r="AC6" s="9" t="s">
        <v>48</v>
      </c>
      <c r="AD6" s="9"/>
      <c r="AE6" s="9" t="s">
        <v>48</v>
      </c>
      <c r="AF6" s="9" t="s">
        <v>48</v>
      </c>
      <c r="AG6" s="9" t="s">
        <v>48</v>
      </c>
      <c r="AH6" s="9" t="s">
        <v>48</v>
      </c>
      <c r="AI6" s="9" t="s">
        <v>48</v>
      </c>
      <c r="AJ6" s="9" t="s">
        <v>48</v>
      </c>
      <c r="AK6" s="9" t="s">
        <v>48</v>
      </c>
      <c r="AL6" s="12">
        <f t="shared" ref="AL6:AL19" si="0">COUNTIF(H6:AK6,"p")+COUNTIF(H6:AK6,"pp")+COUNTIF(H6:AK6,"pp")</f>
        <v>26</v>
      </c>
      <c r="AM6" s="36">
        <f>20000/30</f>
        <v>666.66666666666663</v>
      </c>
      <c r="AN6" s="36">
        <f t="shared" ref="AN6:AN19" si="1">AL6*AM6</f>
        <v>17333.333333333332</v>
      </c>
    </row>
    <row r="7" spans="1:40" s="23" customFormat="1" ht="18" customHeight="1" x14ac:dyDescent="0.3">
      <c r="A7" s="1"/>
      <c r="B7" s="105">
        <v>3</v>
      </c>
      <c r="C7" s="168" t="s">
        <v>154</v>
      </c>
      <c r="D7" s="10"/>
      <c r="E7" s="20" t="s">
        <v>159</v>
      </c>
      <c r="F7" s="20" t="s">
        <v>160</v>
      </c>
      <c r="G7" s="10" t="s">
        <v>1</v>
      </c>
      <c r="H7" s="9" t="s">
        <v>48</v>
      </c>
      <c r="I7" s="9" t="s">
        <v>48</v>
      </c>
      <c r="J7" s="9" t="s">
        <v>48</v>
      </c>
      <c r="K7" s="9"/>
      <c r="L7" s="9" t="s">
        <v>48</v>
      </c>
      <c r="M7" s="9" t="s">
        <v>48</v>
      </c>
      <c r="N7" s="9" t="s">
        <v>48</v>
      </c>
      <c r="O7" s="9" t="s">
        <v>48</v>
      </c>
      <c r="P7" s="9"/>
      <c r="Q7" s="9" t="s">
        <v>48</v>
      </c>
      <c r="R7" s="9" t="s">
        <v>48</v>
      </c>
      <c r="S7" s="9" t="s">
        <v>48</v>
      </c>
      <c r="T7" s="9" t="s">
        <v>48</v>
      </c>
      <c r="U7" s="9" t="s">
        <v>48</v>
      </c>
      <c r="V7" s="9" t="s">
        <v>48</v>
      </c>
      <c r="W7" s="9" t="s">
        <v>48</v>
      </c>
      <c r="X7" s="9" t="s">
        <v>48</v>
      </c>
      <c r="Y7" s="9"/>
      <c r="Z7" s="9" t="s">
        <v>48</v>
      </c>
      <c r="AA7" s="9" t="s">
        <v>48</v>
      </c>
      <c r="AB7" s="9" t="s">
        <v>48</v>
      </c>
      <c r="AC7" s="9" t="s">
        <v>48</v>
      </c>
      <c r="AD7" s="9"/>
      <c r="AE7" s="9"/>
      <c r="AF7" s="9"/>
      <c r="AG7" s="9"/>
      <c r="AH7" s="9"/>
      <c r="AI7" s="9"/>
      <c r="AJ7" s="9"/>
      <c r="AK7" s="9"/>
      <c r="AL7" s="12">
        <f t="shared" si="0"/>
        <v>19</v>
      </c>
      <c r="AM7" s="36">
        <v>550</v>
      </c>
      <c r="AN7" s="36">
        <f t="shared" si="1"/>
        <v>10450</v>
      </c>
    </row>
    <row r="8" spans="1:40" s="23" customFormat="1" ht="18" customHeight="1" x14ac:dyDescent="0.3">
      <c r="A8" s="1"/>
      <c r="B8" s="105">
        <v>4</v>
      </c>
      <c r="C8" s="173" t="s">
        <v>155</v>
      </c>
      <c r="D8" s="10"/>
      <c r="E8" s="21" t="s">
        <v>161</v>
      </c>
      <c r="F8" s="21" t="s">
        <v>162</v>
      </c>
      <c r="G8" s="10" t="s">
        <v>1</v>
      </c>
      <c r="H8" s="9" t="s">
        <v>48</v>
      </c>
      <c r="I8" s="9" t="s">
        <v>48</v>
      </c>
      <c r="J8" s="9" t="s">
        <v>48</v>
      </c>
      <c r="K8" s="9"/>
      <c r="L8" s="9"/>
      <c r="M8" s="9"/>
      <c r="N8" s="9"/>
      <c r="O8" s="9"/>
      <c r="P8" s="9"/>
      <c r="Q8" s="9"/>
      <c r="R8" s="9"/>
      <c r="S8" s="9"/>
      <c r="T8" s="9"/>
      <c r="U8" s="9" t="s">
        <v>48</v>
      </c>
      <c r="V8" s="9" t="s">
        <v>48</v>
      </c>
      <c r="W8" s="9" t="s">
        <v>48</v>
      </c>
      <c r="X8" s="9" t="s">
        <v>48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12">
        <f t="shared" si="0"/>
        <v>7</v>
      </c>
      <c r="AM8" s="36">
        <v>550</v>
      </c>
      <c r="AN8" s="36">
        <f t="shared" si="1"/>
        <v>3850</v>
      </c>
    </row>
    <row r="9" spans="1:40" s="23" customFormat="1" ht="18" customHeight="1" x14ac:dyDescent="0.3">
      <c r="A9" s="1"/>
      <c r="B9" s="105">
        <v>5</v>
      </c>
      <c r="C9" s="110" t="s">
        <v>156</v>
      </c>
      <c r="D9" s="10"/>
      <c r="E9" s="21" t="s">
        <v>163</v>
      </c>
      <c r="F9" s="21" t="s">
        <v>164</v>
      </c>
      <c r="G9" s="10" t="s">
        <v>1</v>
      </c>
      <c r="H9" s="9" t="s">
        <v>48</v>
      </c>
      <c r="I9" s="9" t="s">
        <v>48</v>
      </c>
      <c r="J9" s="9" t="s">
        <v>48</v>
      </c>
      <c r="K9" s="9"/>
      <c r="L9" s="9" t="s">
        <v>48</v>
      </c>
      <c r="M9" s="9" t="s">
        <v>48</v>
      </c>
      <c r="N9" s="9" t="s">
        <v>48</v>
      </c>
      <c r="O9" s="9" t="s">
        <v>48</v>
      </c>
      <c r="P9" s="9"/>
      <c r="Q9" s="9" t="s">
        <v>48</v>
      </c>
      <c r="R9" s="9" t="s">
        <v>48</v>
      </c>
      <c r="S9" s="9" t="s">
        <v>48</v>
      </c>
      <c r="T9" s="9" t="s">
        <v>48</v>
      </c>
      <c r="U9" s="9"/>
      <c r="V9" s="9"/>
      <c r="W9" s="9"/>
      <c r="X9" s="9"/>
      <c r="Y9" s="9"/>
      <c r="Z9" s="9" t="s">
        <v>48</v>
      </c>
      <c r="AA9" s="9" t="s">
        <v>48</v>
      </c>
      <c r="AB9" s="9" t="s">
        <v>48</v>
      </c>
      <c r="AC9" s="9" t="s">
        <v>48</v>
      </c>
      <c r="AD9" s="9"/>
      <c r="AE9" s="9"/>
      <c r="AF9" s="9"/>
      <c r="AG9" s="9"/>
      <c r="AH9" s="9"/>
      <c r="AI9" s="9"/>
      <c r="AJ9" s="9"/>
      <c r="AK9" s="9"/>
      <c r="AL9" s="12">
        <f t="shared" si="0"/>
        <v>15</v>
      </c>
      <c r="AM9" s="36">
        <v>550</v>
      </c>
      <c r="AN9" s="36">
        <f t="shared" si="1"/>
        <v>8250</v>
      </c>
    </row>
    <row r="10" spans="1:40" s="23" customFormat="1" ht="18" customHeight="1" x14ac:dyDescent="0.3">
      <c r="A10" s="1"/>
      <c r="B10" s="105">
        <v>6</v>
      </c>
      <c r="C10" s="110" t="s">
        <v>458</v>
      </c>
      <c r="D10" s="10"/>
      <c r="E10" s="21" t="s">
        <v>165</v>
      </c>
      <c r="F10" s="21" t="s">
        <v>166</v>
      </c>
      <c r="G10" s="10" t="s">
        <v>1</v>
      </c>
      <c r="H10" s="9"/>
      <c r="I10" s="9"/>
      <c r="J10" s="9"/>
      <c r="K10" s="9"/>
      <c r="L10" s="9" t="s">
        <v>48</v>
      </c>
      <c r="M10" s="9" t="s">
        <v>48</v>
      </c>
      <c r="N10" s="9" t="s">
        <v>48</v>
      </c>
      <c r="O10" s="9" t="s">
        <v>48</v>
      </c>
      <c r="P10" s="9"/>
      <c r="Q10" s="9" t="s">
        <v>48</v>
      </c>
      <c r="R10" s="9" t="s">
        <v>48</v>
      </c>
      <c r="S10" s="9" t="s">
        <v>48</v>
      </c>
      <c r="T10" s="9" t="s">
        <v>48</v>
      </c>
      <c r="U10" s="9" t="s">
        <v>48</v>
      </c>
      <c r="V10" s="9" t="s">
        <v>48</v>
      </c>
      <c r="W10" s="9" t="s">
        <v>48</v>
      </c>
      <c r="X10" s="9" t="s">
        <v>48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2">
        <f t="shared" si="0"/>
        <v>12</v>
      </c>
      <c r="AM10" s="36">
        <v>550</v>
      </c>
      <c r="AN10" s="36">
        <f t="shared" si="1"/>
        <v>6600</v>
      </c>
    </row>
    <row r="11" spans="1:40" s="23" customFormat="1" ht="18" customHeight="1" x14ac:dyDescent="0.3">
      <c r="A11" s="1"/>
      <c r="B11" s="105">
        <v>7</v>
      </c>
      <c r="C11" s="110" t="s">
        <v>250</v>
      </c>
      <c r="D11" s="10">
        <v>84</v>
      </c>
      <c r="E11" s="21" t="s">
        <v>251</v>
      </c>
      <c r="F11" s="21" t="s">
        <v>252</v>
      </c>
      <c r="G11" s="10" t="s">
        <v>1</v>
      </c>
      <c r="H11" s="9"/>
      <c r="I11" s="9"/>
      <c r="J11" s="9"/>
      <c r="K11" s="9"/>
      <c r="L11" s="9" t="s">
        <v>48</v>
      </c>
      <c r="M11" s="9" t="s">
        <v>48</v>
      </c>
      <c r="N11" s="9" t="s">
        <v>48</v>
      </c>
      <c r="O11" s="9" t="s">
        <v>48</v>
      </c>
      <c r="P11" s="9"/>
      <c r="Q11" s="9" t="s">
        <v>48</v>
      </c>
      <c r="R11" s="9" t="s">
        <v>48</v>
      </c>
      <c r="S11" s="9" t="s">
        <v>48</v>
      </c>
      <c r="T11" s="9" t="s">
        <v>48</v>
      </c>
      <c r="U11" s="9" t="s">
        <v>48</v>
      </c>
      <c r="V11" s="9" t="s">
        <v>48</v>
      </c>
      <c r="W11" s="9" t="s">
        <v>48</v>
      </c>
      <c r="X11" s="9" t="s">
        <v>48</v>
      </c>
      <c r="Y11" s="9"/>
      <c r="Z11" s="9" t="s">
        <v>48</v>
      </c>
      <c r="AA11" s="9" t="s">
        <v>48</v>
      </c>
      <c r="AB11" s="9" t="s">
        <v>48</v>
      </c>
      <c r="AC11" s="9" t="s">
        <v>48</v>
      </c>
      <c r="AD11" s="9"/>
      <c r="AE11" s="9" t="s">
        <v>48</v>
      </c>
      <c r="AF11" s="9" t="s">
        <v>48</v>
      </c>
      <c r="AG11" s="9" t="s">
        <v>48</v>
      </c>
      <c r="AH11" s="9" t="s">
        <v>48</v>
      </c>
      <c r="AI11" s="9" t="s">
        <v>48</v>
      </c>
      <c r="AJ11" s="9" t="s">
        <v>48</v>
      </c>
      <c r="AK11" s="9" t="s">
        <v>48</v>
      </c>
      <c r="AL11" s="12">
        <f t="shared" si="0"/>
        <v>23</v>
      </c>
      <c r="AM11" s="36">
        <v>550</v>
      </c>
      <c r="AN11" s="36">
        <f t="shared" si="1"/>
        <v>12650</v>
      </c>
    </row>
    <row r="12" spans="1:40" s="23" customFormat="1" ht="18" customHeight="1" x14ac:dyDescent="0.3">
      <c r="A12" s="1"/>
      <c r="B12" s="105">
        <v>8</v>
      </c>
      <c r="C12" s="110" t="s">
        <v>253</v>
      </c>
      <c r="D12" s="10">
        <v>121</v>
      </c>
      <c r="E12" s="21" t="s">
        <v>254</v>
      </c>
      <c r="F12" s="21" t="s">
        <v>255</v>
      </c>
      <c r="G12" s="10" t="s">
        <v>1</v>
      </c>
      <c r="H12" s="9" t="s">
        <v>48</v>
      </c>
      <c r="I12" s="9"/>
      <c r="J12" s="9" t="s">
        <v>48</v>
      </c>
      <c r="K12" s="9" t="s">
        <v>48</v>
      </c>
      <c r="L12" s="9" t="s">
        <v>48</v>
      </c>
      <c r="M12" s="9" t="s">
        <v>48</v>
      </c>
      <c r="N12" s="9" t="s">
        <v>48</v>
      </c>
      <c r="O12" s="9" t="s">
        <v>48</v>
      </c>
      <c r="P12" s="9" t="s">
        <v>48</v>
      </c>
      <c r="Q12" s="9" t="s">
        <v>48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 t="s">
        <v>48</v>
      </c>
      <c r="AC12" s="9" t="s">
        <v>48</v>
      </c>
      <c r="AD12" s="9" t="s">
        <v>48</v>
      </c>
      <c r="AE12" s="9" t="s">
        <v>48</v>
      </c>
      <c r="AF12" s="9"/>
      <c r="AG12" s="9" t="s">
        <v>48</v>
      </c>
      <c r="AH12" s="9" t="s">
        <v>48</v>
      </c>
      <c r="AI12" s="9" t="s">
        <v>48</v>
      </c>
      <c r="AJ12" s="9" t="s">
        <v>48</v>
      </c>
      <c r="AK12" s="9"/>
      <c r="AL12" s="12">
        <f t="shared" si="0"/>
        <v>17</v>
      </c>
      <c r="AM12" s="36">
        <v>550</v>
      </c>
      <c r="AN12" s="36">
        <f t="shared" si="1"/>
        <v>9350</v>
      </c>
    </row>
    <row r="13" spans="1:40" s="23" customFormat="1" ht="18" customHeight="1" x14ac:dyDescent="0.3">
      <c r="A13" s="1"/>
      <c r="B13" s="105">
        <v>9</v>
      </c>
      <c r="C13" s="110" t="s">
        <v>256</v>
      </c>
      <c r="D13" s="10">
        <v>93</v>
      </c>
      <c r="E13" s="21" t="s">
        <v>257</v>
      </c>
      <c r="F13" s="21" t="s">
        <v>258</v>
      </c>
      <c r="G13" s="10" t="s">
        <v>1</v>
      </c>
      <c r="H13" s="9"/>
      <c r="I13" s="9"/>
      <c r="J13" s="9" t="s">
        <v>48</v>
      </c>
      <c r="K13" s="9" t="s">
        <v>48</v>
      </c>
      <c r="L13" s="9" t="s">
        <v>48</v>
      </c>
      <c r="M13" s="9" t="s">
        <v>48</v>
      </c>
      <c r="N13" s="9" t="s">
        <v>48</v>
      </c>
      <c r="O13" s="9" t="s">
        <v>48</v>
      </c>
      <c r="P13" s="9" t="s">
        <v>48</v>
      </c>
      <c r="Q13" s="9" t="s">
        <v>48</v>
      </c>
      <c r="R13" s="9"/>
      <c r="S13" s="9" t="s">
        <v>48</v>
      </c>
      <c r="T13" s="9" t="s">
        <v>48</v>
      </c>
      <c r="U13" s="9" t="s">
        <v>48</v>
      </c>
      <c r="V13" s="9" t="s">
        <v>48</v>
      </c>
      <c r="W13" s="9"/>
      <c r="X13" s="9" t="s">
        <v>48</v>
      </c>
      <c r="Y13" s="9" t="s">
        <v>48</v>
      </c>
      <c r="Z13" s="9" t="s">
        <v>48</v>
      </c>
      <c r="AA13" s="9" t="s">
        <v>48</v>
      </c>
      <c r="AB13" s="9" t="s">
        <v>48</v>
      </c>
      <c r="AC13" s="9" t="s">
        <v>48</v>
      </c>
      <c r="AD13" s="9" t="s">
        <v>48</v>
      </c>
      <c r="AE13" s="9" t="s">
        <v>48</v>
      </c>
      <c r="AF13" s="9"/>
      <c r="AG13" s="9" t="s">
        <v>48</v>
      </c>
      <c r="AH13" s="9" t="s">
        <v>48</v>
      </c>
      <c r="AI13" s="9" t="s">
        <v>48</v>
      </c>
      <c r="AJ13" s="9" t="s">
        <v>48</v>
      </c>
      <c r="AK13" s="9"/>
      <c r="AL13" s="12">
        <f t="shared" si="0"/>
        <v>24</v>
      </c>
      <c r="AM13" s="36">
        <v>550</v>
      </c>
      <c r="AN13" s="36">
        <f t="shared" si="1"/>
        <v>13200</v>
      </c>
    </row>
    <row r="14" spans="1:40" s="23" customFormat="1" ht="18" customHeight="1" x14ac:dyDescent="0.3">
      <c r="A14" s="1"/>
      <c r="B14" s="105">
        <v>10</v>
      </c>
      <c r="C14" s="110" t="s">
        <v>271</v>
      </c>
      <c r="D14" s="10"/>
      <c r="E14" s="42" t="s">
        <v>272</v>
      </c>
      <c r="F14" s="42" t="s">
        <v>273</v>
      </c>
      <c r="G14" s="10" t="s">
        <v>1</v>
      </c>
      <c r="H14" s="91"/>
      <c r="I14" s="91"/>
      <c r="J14" s="91" t="s">
        <v>48</v>
      </c>
      <c r="K14" s="91" t="s">
        <v>48</v>
      </c>
      <c r="L14" s="91" t="s">
        <v>48</v>
      </c>
      <c r="M14" s="91" t="s">
        <v>48</v>
      </c>
      <c r="N14" s="91" t="s">
        <v>48</v>
      </c>
      <c r="O14" s="91" t="s">
        <v>48</v>
      </c>
      <c r="P14" s="91" t="s">
        <v>48</v>
      </c>
      <c r="Q14" s="91" t="s">
        <v>48</v>
      </c>
      <c r="R14" s="91"/>
      <c r="S14" s="91" t="s">
        <v>48</v>
      </c>
      <c r="T14" s="91" t="s">
        <v>48</v>
      </c>
      <c r="U14" s="91" t="s">
        <v>48</v>
      </c>
      <c r="V14" s="91" t="s">
        <v>48</v>
      </c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12">
        <f t="shared" si="0"/>
        <v>12</v>
      </c>
      <c r="AM14" s="36">
        <v>550</v>
      </c>
      <c r="AN14" s="36">
        <f t="shared" si="1"/>
        <v>6600</v>
      </c>
    </row>
    <row r="15" spans="1:40" s="23" customFormat="1" ht="18" customHeight="1" x14ac:dyDescent="0.3">
      <c r="A15" s="1"/>
      <c r="B15" s="105">
        <v>11</v>
      </c>
      <c r="C15" s="110" t="s">
        <v>526</v>
      </c>
      <c r="D15" s="10"/>
      <c r="E15" s="42" t="s">
        <v>524</v>
      </c>
      <c r="F15" s="42" t="s">
        <v>525</v>
      </c>
      <c r="G15" s="10" t="s">
        <v>1</v>
      </c>
      <c r="H15" s="91"/>
      <c r="I15" s="91"/>
      <c r="J15" s="91" t="s">
        <v>48</v>
      </c>
      <c r="K15" s="91" t="s">
        <v>48</v>
      </c>
      <c r="L15" s="91" t="s">
        <v>48</v>
      </c>
      <c r="M15" s="91" t="s">
        <v>48</v>
      </c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12">
        <f t="shared" si="0"/>
        <v>4</v>
      </c>
      <c r="AM15" s="36">
        <v>550</v>
      </c>
      <c r="AN15" s="36">
        <f t="shared" si="1"/>
        <v>2200</v>
      </c>
    </row>
    <row r="16" spans="1:40" s="23" customFormat="1" ht="18" customHeight="1" x14ac:dyDescent="0.3">
      <c r="A16" s="1"/>
      <c r="B16" s="105">
        <v>12</v>
      </c>
      <c r="C16" s="110">
        <v>34275</v>
      </c>
      <c r="D16" s="10"/>
      <c r="E16" s="21" t="s">
        <v>615</v>
      </c>
      <c r="F16" s="21" t="s">
        <v>616</v>
      </c>
      <c r="G16" s="10" t="s">
        <v>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 t="s">
        <v>48</v>
      </c>
      <c r="AJ16" s="9" t="s">
        <v>48</v>
      </c>
      <c r="AK16" s="9" t="s">
        <v>48</v>
      </c>
      <c r="AL16" s="12">
        <f t="shared" si="0"/>
        <v>3</v>
      </c>
      <c r="AM16" s="36">
        <v>550</v>
      </c>
      <c r="AN16" s="36">
        <f t="shared" si="1"/>
        <v>1650</v>
      </c>
    </row>
    <row r="17" spans="1:40" s="23" customFormat="1" ht="18" customHeight="1" x14ac:dyDescent="0.3">
      <c r="A17" s="1"/>
      <c r="B17" s="105">
        <v>13</v>
      </c>
      <c r="C17" s="106" t="s">
        <v>750</v>
      </c>
      <c r="D17" s="10"/>
      <c r="E17" s="21" t="s">
        <v>749</v>
      </c>
      <c r="F17" s="21" t="s">
        <v>144</v>
      </c>
      <c r="G17" s="10" t="s">
        <v>1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 t="s">
        <v>48</v>
      </c>
      <c r="AJ17" s="9" t="s">
        <v>48</v>
      </c>
      <c r="AK17" s="9" t="s">
        <v>48</v>
      </c>
      <c r="AL17" s="12">
        <f t="shared" si="0"/>
        <v>3</v>
      </c>
      <c r="AM17" s="36">
        <v>550</v>
      </c>
      <c r="AN17" s="36">
        <f t="shared" si="1"/>
        <v>1650</v>
      </c>
    </row>
    <row r="18" spans="1:40" s="23" customFormat="1" ht="18" customHeight="1" x14ac:dyDescent="0.3">
      <c r="A18" s="1"/>
      <c r="B18" s="105">
        <v>14</v>
      </c>
      <c r="C18" s="110" t="s">
        <v>803</v>
      </c>
      <c r="D18" s="10"/>
      <c r="E18" s="20" t="s">
        <v>286</v>
      </c>
      <c r="F18" s="20" t="s">
        <v>203</v>
      </c>
      <c r="G18" s="10" t="s">
        <v>1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 t="s">
        <v>48</v>
      </c>
      <c r="AJ18" s="9" t="s">
        <v>48</v>
      </c>
      <c r="AK18" s="9" t="s">
        <v>48</v>
      </c>
      <c r="AL18" s="12">
        <f t="shared" si="0"/>
        <v>3</v>
      </c>
      <c r="AM18" s="36">
        <v>550</v>
      </c>
      <c r="AN18" s="36">
        <f t="shared" si="1"/>
        <v>1650</v>
      </c>
    </row>
    <row r="19" spans="1:40" s="23" customFormat="1" ht="18" customHeight="1" x14ac:dyDescent="0.3">
      <c r="A19" s="1"/>
      <c r="B19" s="105">
        <v>15</v>
      </c>
      <c r="C19" s="173">
        <v>33648</v>
      </c>
      <c r="D19" s="10"/>
      <c r="E19" s="21" t="s">
        <v>779</v>
      </c>
      <c r="F19" s="21" t="s">
        <v>663</v>
      </c>
      <c r="G19" s="10" t="s">
        <v>1</v>
      </c>
      <c r="H19" s="9" t="s">
        <v>48</v>
      </c>
      <c r="I19" s="9" t="s">
        <v>48</v>
      </c>
      <c r="J19" s="9" t="s">
        <v>48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12">
        <f t="shared" si="0"/>
        <v>3</v>
      </c>
      <c r="AM19" s="36">
        <v>550</v>
      </c>
      <c r="AN19" s="36">
        <f t="shared" si="1"/>
        <v>1650</v>
      </c>
    </row>
    <row r="20" spans="1:40" ht="18" customHeight="1" x14ac:dyDescent="0.3">
      <c r="B20" s="128" t="s">
        <v>15</v>
      </c>
      <c r="C20" s="128"/>
      <c r="D20" s="128"/>
      <c r="E20" s="128"/>
      <c r="F20" s="128"/>
      <c r="G20" s="128"/>
      <c r="H20" s="12">
        <f t="shared" ref="H20:AK20" si="2">COUNTIF(H5:H19,"P")+COUNTIF(H5:H19,"PP")+COUNTIF(H5:H19,"PP")</f>
        <v>7</v>
      </c>
      <c r="I20" s="12">
        <f t="shared" si="2"/>
        <v>5</v>
      </c>
      <c r="J20" s="12">
        <f t="shared" si="2"/>
        <v>10</v>
      </c>
      <c r="K20" s="12">
        <f t="shared" si="2"/>
        <v>5</v>
      </c>
      <c r="L20" s="12">
        <f t="shared" si="2"/>
        <v>10</v>
      </c>
      <c r="M20" s="12">
        <f t="shared" si="2"/>
        <v>10</v>
      </c>
      <c r="N20" s="12">
        <f t="shared" si="2"/>
        <v>9</v>
      </c>
      <c r="O20" s="12">
        <f t="shared" si="2"/>
        <v>9</v>
      </c>
      <c r="P20" s="12">
        <f t="shared" si="2"/>
        <v>4</v>
      </c>
      <c r="Q20" s="12">
        <f t="shared" si="2"/>
        <v>9</v>
      </c>
      <c r="R20" s="12">
        <f t="shared" si="2"/>
        <v>5</v>
      </c>
      <c r="S20" s="12">
        <f t="shared" si="2"/>
        <v>8</v>
      </c>
      <c r="T20" s="12">
        <f t="shared" si="2"/>
        <v>8</v>
      </c>
      <c r="U20" s="12">
        <f t="shared" si="2"/>
        <v>8</v>
      </c>
      <c r="V20" s="12">
        <f t="shared" si="2"/>
        <v>8</v>
      </c>
      <c r="W20" s="12">
        <f t="shared" si="2"/>
        <v>5</v>
      </c>
      <c r="X20" s="12">
        <f t="shared" si="2"/>
        <v>7</v>
      </c>
      <c r="Y20" s="12">
        <f t="shared" si="2"/>
        <v>2</v>
      </c>
      <c r="Z20" s="12">
        <f t="shared" si="2"/>
        <v>6</v>
      </c>
      <c r="AA20" s="12">
        <f t="shared" si="2"/>
        <v>6</v>
      </c>
      <c r="AB20" s="12">
        <f t="shared" si="2"/>
        <v>7</v>
      </c>
      <c r="AC20" s="12">
        <f t="shared" si="2"/>
        <v>7</v>
      </c>
      <c r="AD20" s="12">
        <f t="shared" si="2"/>
        <v>3</v>
      </c>
      <c r="AE20" s="12">
        <f t="shared" si="2"/>
        <v>5</v>
      </c>
      <c r="AF20" s="12">
        <f t="shared" si="2"/>
        <v>2</v>
      </c>
      <c r="AG20" s="12">
        <f t="shared" si="2"/>
        <v>5</v>
      </c>
      <c r="AH20" s="12">
        <f t="shared" si="2"/>
        <v>5</v>
      </c>
      <c r="AI20" s="12">
        <f t="shared" si="2"/>
        <v>8</v>
      </c>
      <c r="AJ20" s="12">
        <f t="shared" si="2"/>
        <v>8</v>
      </c>
      <c r="AK20" s="12">
        <f t="shared" si="2"/>
        <v>5</v>
      </c>
      <c r="AL20" s="28">
        <f>SUM(AL5:AL19)</f>
        <v>196</v>
      </c>
      <c r="AN20" s="64">
        <f>SUM(AN5:AN19)</f>
        <v>112083.33333333333</v>
      </c>
    </row>
    <row r="22" spans="1:40" ht="22.8" x14ac:dyDescent="0.3">
      <c r="B22" s="124" t="s">
        <v>14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6"/>
      <c r="AM22" s="129" t="s">
        <v>471</v>
      </c>
      <c r="AN22" s="129" t="s">
        <v>473</v>
      </c>
    </row>
    <row r="23" spans="1:40" s="23" customFormat="1" ht="18" customHeight="1" x14ac:dyDescent="0.3">
      <c r="A23" s="1"/>
      <c r="B23" s="136" t="s">
        <v>791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29"/>
      <c r="AN23" s="129"/>
    </row>
    <row r="24" spans="1:40" s="23" customFormat="1" ht="18" customHeight="1" x14ac:dyDescent="0.3">
      <c r="A24" s="1"/>
      <c r="B24" s="32" t="s">
        <v>466</v>
      </c>
      <c r="C24" s="46" t="s">
        <v>2</v>
      </c>
      <c r="D24" s="32" t="s">
        <v>16</v>
      </c>
      <c r="E24" s="33" t="s">
        <v>3</v>
      </c>
      <c r="F24" s="33" t="s">
        <v>4</v>
      </c>
      <c r="G24" s="32" t="s">
        <v>7</v>
      </c>
      <c r="H24" s="32">
        <v>1</v>
      </c>
      <c r="I24" s="32">
        <v>2</v>
      </c>
      <c r="J24" s="32">
        <v>3</v>
      </c>
      <c r="K24" s="32">
        <v>4</v>
      </c>
      <c r="L24" s="32">
        <v>5</v>
      </c>
      <c r="M24" s="32">
        <v>6</v>
      </c>
      <c r="N24" s="32">
        <v>7</v>
      </c>
      <c r="O24" s="32">
        <v>8</v>
      </c>
      <c r="P24" s="32">
        <v>9</v>
      </c>
      <c r="Q24" s="32">
        <v>10</v>
      </c>
      <c r="R24" s="32">
        <v>11</v>
      </c>
      <c r="S24" s="32">
        <v>12</v>
      </c>
      <c r="T24" s="32">
        <v>13</v>
      </c>
      <c r="U24" s="32">
        <v>14</v>
      </c>
      <c r="V24" s="32">
        <v>15</v>
      </c>
      <c r="W24" s="32">
        <v>16</v>
      </c>
      <c r="X24" s="32">
        <v>17</v>
      </c>
      <c r="Y24" s="32">
        <v>18</v>
      </c>
      <c r="Z24" s="32">
        <v>19</v>
      </c>
      <c r="AA24" s="32">
        <v>20</v>
      </c>
      <c r="AB24" s="32">
        <v>21</v>
      </c>
      <c r="AC24" s="32">
        <v>22</v>
      </c>
      <c r="AD24" s="32">
        <v>23</v>
      </c>
      <c r="AE24" s="32">
        <v>24</v>
      </c>
      <c r="AF24" s="32">
        <v>25</v>
      </c>
      <c r="AG24" s="32">
        <v>26</v>
      </c>
      <c r="AH24" s="32">
        <v>27</v>
      </c>
      <c r="AI24" s="32">
        <v>28</v>
      </c>
      <c r="AJ24" s="32">
        <v>29</v>
      </c>
      <c r="AK24" s="32">
        <v>30</v>
      </c>
      <c r="AL24" s="34" t="s">
        <v>6</v>
      </c>
      <c r="AM24" s="129"/>
      <c r="AN24" s="129"/>
    </row>
    <row r="25" spans="1:40" s="23" customFormat="1" ht="18" customHeight="1" x14ac:dyDescent="0.3">
      <c r="A25" s="1"/>
      <c r="B25" s="105">
        <v>1</v>
      </c>
      <c r="C25" s="10" t="s">
        <v>143</v>
      </c>
      <c r="D25" s="10"/>
      <c r="E25" s="20" t="s">
        <v>151</v>
      </c>
      <c r="F25" s="20" t="s">
        <v>152</v>
      </c>
      <c r="G25" s="10" t="s">
        <v>1</v>
      </c>
      <c r="H25" s="9" t="s">
        <v>48</v>
      </c>
      <c r="I25" s="9" t="s">
        <v>48</v>
      </c>
      <c r="J25" s="9" t="s">
        <v>48</v>
      </c>
      <c r="K25" s="9"/>
      <c r="L25" s="9" t="s">
        <v>48</v>
      </c>
      <c r="M25" s="9" t="s">
        <v>48</v>
      </c>
      <c r="N25" s="9" t="s">
        <v>48</v>
      </c>
      <c r="O25" s="9" t="s">
        <v>48</v>
      </c>
      <c r="P25" s="9"/>
      <c r="Q25" s="9" t="s">
        <v>48</v>
      </c>
      <c r="R25" s="9" t="s">
        <v>48</v>
      </c>
      <c r="S25" s="9" t="s">
        <v>48</v>
      </c>
      <c r="T25" s="9" t="s">
        <v>48</v>
      </c>
      <c r="U25" s="9" t="s">
        <v>48</v>
      </c>
      <c r="V25" s="9" t="s">
        <v>48</v>
      </c>
      <c r="W25" s="9" t="s">
        <v>48</v>
      </c>
      <c r="X25" s="9" t="s">
        <v>48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2">
        <f t="shared" ref="AL25:AL41" si="3">COUNTIF(H25:AK25,"p")+COUNTIF(H25:AK25,"pp")+COUNTIF(H25:AK25,"pp")</f>
        <v>15</v>
      </c>
      <c r="AM25" s="36">
        <v>550</v>
      </c>
      <c r="AN25" s="36">
        <f t="shared" ref="AN25:AN41" si="4">AL25*AM25</f>
        <v>8250</v>
      </c>
    </row>
    <row r="26" spans="1:40" s="23" customFormat="1" ht="18" customHeight="1" x14ac:dyDescent="0.3">
      <c r="A26" s="1"/>
      <c r="B26" s="105">
        <v>2</v>
      </c>
      <c r="C26" s="110" t="s">
        <v>56</v>
      </c>
      <c r="D26" s="10"/>
      <c r="E26" s="21" t="s">
        <v>64</v>
      </c>
      <c r="F26" s="21" t="s">
        <v>65</v>
      </c>
      <c r="G26" s="10" t="s">
        <v>1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 t="s">
        <v>48</v>
      </c>
      <c r="AF26" s="9" t="s">
        <v>48</v>
      </c>
      <c r="AG26" s="9" t="s">
        <v>48</v>
      </c>
      <c r="AH26" s="9" t="s">
        <v>48</v>
      </c>
      <c r="AI26" s="9" t="s">
        <v>48</v>
      </c>
      <c r="AJ26" s="9" t="s">
        <v>48</v>
      </c>
      <c r="AK26" s="9" t="s">
        <v>48</v>
      </c>
      <c r="AL26" s="12">
        <f t="shared" si="3"/>
        <v>7</v>
      </c>
      <c r="AM26" s="36">
        <v>550</v>
      </c>
      <c r="AN26" s="36">
        <f t="shared" si="4"/>
        <v>3850</v>
      </c>
    </row>
    <row r="27" spans="1:40" s="23" customFormat="1" ht="18" customHeight="1" x14ac:dyDescent="0.3">
      <c r="A27" s="1"/>
      <c r="B27" s="108">
        <v>3</v>
      </c>
      <c r="C27" s="110" t="s">
        <v>459</v>
      </c>
      <c r="D27" s="10"/>
      <c r="E27" s="21" t="s">
        <v>370</v>
      </c>
      <c r="F27" s="21" t="s">
        <v>371</v>
      </c>
      <c r="G27" s="10" t="s">
        <v>1</v>
      </c>
      <c r="H27" s="9" t="s">
        <v>48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12">
        <f t="shared" si="3"/>
        <v>1</v>
      </c>
      <c r="AM27" s="36">
        <v>550</v>
      </c>
      <c r="AN27" s="36">
        <f t="shared" si="4"/>
        <v>550</v>
      </c>
    </row>
    <row r="28" spans="1:40" s="23" customFormat="1" ht="18" customHeight="1" x14ac:dyDescent="0.3">
      <c r="A28" s="1"/>
      <c r="B28" s="108">
        <v>4</v>
      </c>
      <c r="C28" s="110" t="s">
        <v>460</v>
      </c>
      <c r="D28" s="10"/>
      <c r="E28" s="21" t="s">
        <v>91</v>
      </c>
      <c r="F28" s="21" t="s">
        <v>372</v>
      </c>
      <c r="G28" s="10" t="s">
        <v>1</v>
      </c>
      <c r="H28" s="9" t="s">
        <v>48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12">
        <f t="shared" si="3"/>
        <v>1</v>
      </c>
      <c r="AM28" s="36">
        <v>550</v>
      </c>
      <c r="AN28" s="36">
        <f t="shared" si="4"/>
        <v>550</v>
      </c>
    </row>
    <row r="29" spans="1:40" s="23" customFormat="1" ht="18" customHeight="1" x14ac:dyDescent="0.3">
      <c r="A29" s="1"/>
      <c r="B29" s="108">
        <v>5</v>
      </c>
      <c r="C29" s="110" t="s">
        <v>461</v>
      </c>
      <c r="D29" s="10"/>
      <c r="E29" s="21" t="s">
        <v>373</v>
      </c>
      <c r="F29" s="21" t="s">
        <v>374</v>
      </c>
      <c r="G29" s="10" t="s">
        <v>1</v>
      </c>
      <c r="H29" s="9" t="s">
        <v>48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12">
        <f t="shared" si="3"/>
        <v>1</v>
      </c>
      <c r="AM29" s="36">
        <v>550</v>
      </c>
      <c r="AN29" s="36">
        <f t="shared" si="4"/>
        <v>550</v>
      </c>
    </row>
    <row r="30" spans="1:40" s="23" customFormat="1" ht="18" customHeight="1" x14ac:dyDescent="0.3">
      <c r="A30" s="1"/>
      <c r="B30" s="108">
        <v>6</v>
      </c>
      <c r="C30" s="10" t="s">
        <v>553</v>
      </c>
      <c r="D30" s="10"/>
      <c r="E30" s="43" t="s">
        <v>74</v>
      </c>
      <c r="F30" s="43" t="s">
        <v>75</v>
      </c>
      <c r="G30" s="10" t="s">
        <v>1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 t="s">
        <v>48</v>
      </c>
      <c r="Y30" s="92" t="s">
        <v>48</v>
      </c>
      <c r="Z30" s="92" t="s">
        <v>48</v>
      </c>
      <c r="AA30" s="92" t="s">
        <v>48</v>
      </c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12">
        <f t="shared" si="3"/>
        <v>4</v>
      </c>
      <c r="AM30" s="36">
        <v>550</v>
      </c>
      <c r="AN30" s="36">
        <f t="shared" si="4"/>
        <v>2200</v>
      </c>
    </row>
    <row r="31" spans="1:40" s="23" customFormat="1" ht="17.25" customHeight="1" x14ac:dyDescent="0.3">
      <c r="A31" s="1"/>
      <c r="B31" s="108">
        <v>7</v>
      </c>
      <c r="C31" s="110">
        <v>33910</v>
      </c>
      <c r="D31" s="10"/>
      <c r="E31" s="21" t="s">
        <v>659</v>
      </c>
      <c r="F31" s="21" t="s">
        <v>50</v>
      </c>
      <c r="G31" s="10" t="s">
        <v>1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 t="s">
        <v>48</v>
      </c>
      <c r="AA31" s="92" t="s">
        <v>48</v>
      </c>
      <c r="AB31" s="92" t="s">
        <v>48</v>
      </c>
      <c r="AC31" s="92" t="s">
        <v>48</v>
      </c>
      <c r="AD31" s="92"/>
      <c r="AE31" s="92"/>
      <c r="AF31" s="92"/>
      <c r="AG31" s="92"/>
      <c r="AH31" s="92"/>
      <c r="AI31" s="92"/>
      <c r="AJ31" s="92"/>
      <c r="AK31" s="92"/>
      <c r="AL31" s="12">
        <f t="shared" si="3"/>
        <v>4</v>
      </c>
      <c r="AM31" s="36">
        <v>550</v>
      </c>
      <c r="AN31" s="36">
        <f t="shared" si="4"/>
        <v>2200</v>
      </c>
    </row>
    <row r="32" spans="1:40" s="23" customFormat="1" ht="17.25" customHeight="1" x14ac:dyDescent="0.3">
      <c r="A32" s="1"/>
      <c r="B32" s="108">
        <v>8</v>
      </c>
      <c r="C32" s="113" t="s">
        <v>805</v>
      </c>
      <c r="D32" s="10"/>
      <c r="E32" s="21" t="s">
        <v>671</v>
      </c>
      <c r="F32" s="21" t="s">
        <v>131</v>
      </c>
      <c r="G32" s="10" t="s">
        <v>1</v>
      </c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 t="s">
        <v>48</v>
      </c>
      <c r="AF32" s="95" t="s">
        <v>48</v>
      </c>
      <c r="AG32" s="95" t="s">
        <v>48</v>
      </c>
      <c r="AH32" s="95" t="s">
        <v>48</v>
      </c>
      <c r="AI32" s="95"/>
      <c r="AJ32" s="95"/>
      <c r="AK32" s="95"/>
      <c r="AL32" s="12">
        <f t="shared" si="3"/>
        <v>4</v>
      </c>
      <c r="AM32" s="36">
        <v>550</v>
      </c>
      <c r="AN32" s="36">
        <f t="shared" si="4"/>
        <v>2200</v>
      </c>
    </row>
    <row r="33" spans="1:40" s="23" customFormat="1" ht="17.25" customHeight="1" x14ac:dyDescent="0.3">
      <c r="A33" s="1"/>
      <c r="B33" s="108">
        <v>9</v>
      </c>
      <c r="C33" s="10" t="s">
        <v>339</v>
      </c>
      <c r="D33" s="10"/>
      <c r="E33" s="43" t="s">
        <v>337</v>
      </c>
      <c r="F33" s="43" t="s">
        <v>338</v>
      </c>
      <c r="G33" s="10" t="s">
        <v>1</v>
      </c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 t="s">
        <v>48</v>
      </c>
      <c r="AF33" s="95" t="s">
        <v>48</v>
      </c>
      <c r="AG33" s="95" t="s">
        <v>48</v>
      </c>
      <c r="AH33" s="95" t="s">
        <v>48</v>
      </c>
      <c r="AI33" s="95"/>
      <c r="AJ33" s="95"/>
      <c r="AK33" s="95"/>
      <c r="AL33" s="12">
        <f t="shared" si="3"/>
        <v>4</v>
      </c>
      <c r="AM33" s="36">
        <v>550</v>
      </c>
      <c r="AN33" s="36">
        <f t="shared" si="4"/>
        <v>2200</v>
      </c>
    </row>
    <row r="34" spans="1:40" s="23" customFormat="1" ht="17.25" customHeight="1" x14ac:dyDescent="0.3">
      <c r="A34" s="1"/>
      <c r="B34" s="108">
        <v>10</v>
      </c>
      <c r="C34" s="113" t="s">
        <v>803</v>
      </c>
      <c r="D34" s="10"/>
      <c r="E34" s="21" t="s">
        <v>286</v>
      </c>
      <c r="F34" s="21" t="s">
        <v>203</v>
      </c>
      <c r="G34" s="10" t="s">
        <v>1</v>
      </c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 t="s">
        <v>48</v>
      </c>
      <c r="AF34" s="95" t="s">
        <v>48</v>
      </c>
      <c r="AG34" s="95" t="s">
        <v>48</v>
      </c>
      <c r="AH34" s="95" t="s">
        <v>48</v>
      </c>
      <c r="AI34" s="95"/>
      <c r="AJ34" s="95"/>
      <c r="AK34" s="95"/>
      <c r="AL34" s="12">
        <f t="shared" si="3"/>
        <v>4</v>
      </c>
      <c r="AM34" s="36">
        <v>550</v>
      </c>
      <c r="AN34" s="36">
        <f t="shared" si="4"/>
        <v>2200</v>
      </c>
    </row>
    <row r="35" spans="1:40" s="23" customFormat="1" ht="18" customHeight="1" x14ac:dyDescent="0.3">
      <c r="A35" s="1"/>
      <c r="B35" s="108">
        <v>11</v>
      </c>
      <c r="C35" s="110">
        <v>33816</v>
      </c>
      <c r="D35" s="10"/>
      <c r="E35" s="21" t="s">
        <v>440</v>
      </c>
      <c r="F35" s="21" t="s">
        <v>93</v>
      </c>
      <c r="G35" s="10" t="s">
        <v>1</v>
      </c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 t="s">
        <v>48</v>
      </c>
      <c r="AA35" s="92" t="s">
        <v>48</v>
      </c>
      <c r="AB35" s="92" t="s">
        <v>48</v>
      </c>
      <c r="AC35" s="92" t="s">
        <v>48</v>
      </c>
      <c r="AD35" s="92"/>
      <c r="AE35" s="92"/>
      <c r="AF35" s="92"/>
      <c r="AG35" s="92"/>
      <c r="AH35" s="92"/>
      <c r="AI35" s="92"/>
      <c r="AJ35" s="92"/>
      <c r="AK35" s="92"/>
      <c r="AL35" s="12">
        <f t="shared" si="3"/>
        <v>4</v>
      </c>
      <c r="AM35" s="36">
        <v>550</v>
      </c>
      <c r="AN35" s="36">
        <f t="shared" si="4"/>
        <v>2200</v>
      </c>
    </row>
    <row r="36" spans="1:40" s="23" customFormat="1" ht="18" customHeight="1" x14ac:dyDescent="0.3">
      <c r="A36" s="1"/>
      <c r="B36" s="108">
        <v>12</v>
      </c>
      <c r="C36" s="173" t="s">
        <v>383</v>
      </c>
      <c r="D36" s="10"/>
      <c r="E36" s="42" t="s">
        <v>381</v>
      </c>
      <c r="F36" s="42" t="s">
        <v>382</v>
      </c>
      <c r="G36" s="10" t="s">
        <v>1</v>
      </c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 t="s">
        <v>48</v>
      </c>
      <c r="AC36" s="92" t="s">
        <v>48</v>
      </c>
      <c r="AD36" s="92" t="s">
        <v>48</v>
      </c>
      <c r="AE36" s="92" t="s">
        <v>48</v>
      </c>
      <c r="AF36" s="92"/>
      <c r="AG36" s="92"/>
      <c r="AH36" s="92"/>
      <c r="AI36" s="92"/>
      <c r="AJ36" s="92"/>
      <c r="AK36" s="92"/>
      <c r="AL36" s="12">
        <f t="shared" si="3"/>
        <v>4</v>
      </c>
      <c r="AM36" s="36">
        <v>550</v>
      </c>
      <c r="AN36" s="36">
        <f t="shared" si="4"/>
        <v>2200</v>
      </c>
    </row>
    <row r="37" spans="1:40" s="23" customFormat="1" ht="18" customHeight="1" x14ac:dyDescent="0.3">
      <c r="A37" s="1"/>
      <c r="B37" s="108">
        <v>13</v>
      </c>
      <c r="C37" s="110" t="s">
        <v>462</v>
      </c>
      <c r="D37" s="10"/>
      <c r="E37" s="21" t="s">
        <v>375</v>
      </c>
      <c r="F37" s="21" t="s">
        <v>376</v>
      </c>
      <c r="G37" s="10" t="s">
        <v>1</v>
      </c>
      <c r="H37" s="9" t="s">
        <v>48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2">
        <f t="shared" si="3"/>
        <v>1</v>
      </c>
      <c r="AM37" s="36">
        <v>550</v>
      </c>
      <c r="AN37" s="36">
        <f t="shared" si="4"/>
        <v>550</v>
      </c>
    </row>
    <row r="38" spans="1:40" s="23" customFormat="1" ht="18" customHeight="1" x14ac:dyDescent="0.3">
      <c r="A38" s="1"/>
      <c r="B38" s="108">
        <v>14</v>
      </c>
      <c r="C38" s="110">
        <v>33713</v>
      </c>
      <c r="D38" s="10"/>
      <c r="E38" s="21" t="s">
        <v>413</v>
      </c>
      <c r="F38" s="21" t="s">
        <v>414</v>
      </c>
      <c r="G38" s="10" t="s">
        <v>1</v>
      </c>
      <c r="H38" s="9"/>
      <c r="I38" s="9"/>
      <c r="J38" s="9" t="s">
        <v>48</v>
      </c>
      <c r="K38" s="9" t="s">
        <v>48</v>
      </c>
      <c r="L38" s="9" t="s">
        <v>48</v>
      </c>
      <c r="M38" s="9" t="s">
        <v>48</v>
      </c>
      <c r="N38" s="9" t="s">
        <v>48</v>
      </c>
      <c r="O38" s="9" t="s">
        <v>48</v>
      </c>
      <c r="P38" s="9" t="s">
        <v>48</v>
      </c>
      <c r="Q38" s="9" t="s">
        <v>48</v>
      </c>
      <c r="R38" s="9"/>
      <c r="S38" s="9" t="s">
        <v>48</v>
      </c>
      <c r="T38" s="9" t="s">
        <v>48</v>
      </c>
      <c r="U38" s="9" t="s">
        <v>48</v>
      </c>
      <c r="V38" s="9" t="s">
        <v>48</v>
      </c>
      <c r="W38" s="9"/>
      <c r="X38" s="9" t="s">
        <v>48</v>
      </c>
      <c r="Y38" s="9" t="s">
        <v>48</v>
      </c>
      <c r="Z38" s="9" t="s">
        <v>48</v>
      </c>
      <c r="AA38" s="9" t="s">
        <v>48</v>
      </c>
      <c r="AB38" s="9" t="s">
        <v>48</v>
      </c>
      <c r="AC38" s="9" t="s">
        <v>48</v>
      </c>
      <c r="AD38" s="9" t="s">
        <v>48</v>
      </c>
      <c r="AE38" s="9" t="s">
        <v>48</v>
      </c>
      <c r="AF38" s="9"/>
      <c r="AG38" s="9" t="s">
        <v>48</v>
      </c>
      <c r="AH38" s="9" t="s">
        <v>48</v>
      </c>
      <c r="AI38" s="9" t="s">
        <v>48</v>
      </c>
      <c r="AJ38" s="9" t="s">
        <v>48</v>
      </c>
      <c r="AK38" s="9"/>
      <c r="AL38" s="12">
        <f t="shared" si="3"/>
        <v>24</v>
      </c>
      <c r="AM38" s="36">
        <v>550</v>
      </c>
      <c r="AN38" s="36">
        <f t="shared" si="4"/>
        <v>13200</v>
      </c>
    </row>
    <row r="39" spans="1:40" s="23" customFormat="1" ht="18" customHeight="1" x14ac:dyDescent="0.3">
      <c r="A39" s="1"/>
      <c r="B39" s="108">
        <v>15</v>
      </c>
      <c r="C39" s="173" t="s">
        <v>361</v>
      </c>
      <c r="D39" s="10"/>
      <c r="E39" s="42" t="s">
        <v>359</v>
      </c>
      <c r="F39" s="42" t="s">
        <v>360</v>
      </c>
      <c r="G39" s="10" t="s">
        <v>1</v>
      </c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 t="s">
        <v>48</v>
      </c>
      <c r="T39" s="92" t="s">
        <v>48</v>
      </c>
      <c r="U39" s="92" t="s">
        <v>48</v>
      </c>
      <c r="V39" s="92" t="s">
        <v>48</v>
      </c>
      <c r="W39" s="92"/>
      <c r="X39" s="92" t="s">
        <v>48</v>
      </c>
      <c r="Y39" s="92" t="s">
        <v>48</v>
      </c>
      <c r="Z39" s="92" t="s">
        <v>48</v>
      </c>
      <c r="AA39" s="92" t="s">
        <v>48</v>
      </c>
      <c r="AB39" s="92" t="s">
        <v>48</v>
      </c>
      <c r="AC39" s="92" t="s">
        <v>48</v>
      </c>
      <c r="AD39" s="92" t="s">
        <v>48</v>
      </c>
      <c r="AE39" s="92" t="s">
        <v>48</v>
      </c>
      <c r="AF39" s="92"/>
      <c r="AG39" s="92" t="s">
        <v>48</v>
      </c>
      <c r="AH39" s="92" t="s">
        <v>48</v>
      </c>
      <c r="AI39" s="92" t="s">
        <v>48</v>
      </c>
      <c r="AJ39" s="92" t="s">
        <v>48</v>
      </c>
      <c r="AK39" s="92"/>
      <c r="AL39" s="12">
        <f t="shared" si="3"/>
        <v>16</v>
      </c>
      <c r="AM39" s="36">
        <v>550</v>
      </c>
      <c r="AN39" s="36">
        <f t="shared" si="4"/>
        <v>8800</v>
      </c>
    </row>
    <row r="40" spans="1:40" s="23" customFormat="1" ht="18" customHeight="1" x14ac:dyDescent="0.3">
      <c r="A40" s="1"/>
      <c r="B40" s="108">
        <v>16</v>
      </c>
      <c r="C40" s="10" t="s">
        <v>650</v>
      </c>
      <c r="D40" s="10"/>
      <c r="E40" s="43" t="s">
        <v>248</v>
      </c>
      <c r="F40" s="43" t="s">
        <v>249</v>
      </c>
      <c r="G40" s="10" t="s">
        <v>1</v>
      </c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 t="s">
        <v>48</v>
      </c>
      <c r="Y40" s="92" t="s">
        <v>48</v>
      </c>
      <c r="Z40" s="92" t="s">
        <v>48</v>
      </c>
      <c r="AA40" s="92" t="s">
        <v>48</v>
      </c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12">
        <f t="shared" si="3"/>
        <v>4</v>
      </c>
      <c r="AM40" s="36">
        <v>550</v>
      </c>
      <c r="AN40" s="36">
        <f t="shared" si="4"/>
        <v>2200</v>
      </c>
    </row>
    <row r="41" spans="1:40" s="23" customFormat="1" ht="18" customHeight="1" x14ac:dyDescent="0.3">
      <c r="A41" s="1"/>
      <c r="B41" s="108">
        <v>17</v>
      </c>
      <c r="C41" s="113" t="s">
        <v>799</v>
      </c>
      <c r="D41" s="10"/>
      <c r="E41" s="21" t="s">
        <v>551</v>
      </c>
      <c r="F41" s="21" t="s">
        <v>552</v>
      </c>
      <c r="G41" s="10" t="s">
        <v>1</v>
      </c>
      <c r="H41" s="9"/>
      <c r="I41" s="9"/>
      <c r="J41" s="9"/>
      <c r="K41" s="9"/>
      <c r="L41" s="9"/>
      <c r="M41" s="9"/>
      <c r="N41" s="9" t="s">
        <v>48</v>
      </c>
      <c r="O41" s="9" t="s">
        <v>48</v>
      </c>
      <c r="P41" s="9" t="s">
        <v>48</v>
      </c>
      <c r="Q41" s="9" t="s">
        <v>48</v>
      </c>
      <c r="R41" s="9"/>
      <c r="S41" s="9" t="s">
        <v>48</v>
      </c>
      <c r="T41" s="9" t="s">
        <v>48</v>
      </c>
      <c r="U41" s="9" t="s">
        <v>48</v>
      </c>
      <c r="V41" s="9" t="s">
        <v>48</v>
      </c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2">
        <f t="shared" si="3"/>
        <v>8</v>
      </c>
      <c r="AM41" s="36">
        <v>550</v>
      </c>
      <c r="AN41" s="36">
        <f t="shared" si="4"/>
        <v>4400</v>
      </c>
    </row>
    <row r="42" spans="1:40" s="23" customFormat="1" ht="18" customHeight="1" x14ac:dyDescent="0.3">
      <c r="A42" s="1"/>
      <c r="B42" s="128" t="s">
        <v>15</v>
      </c>
      <c r="C42" s="128"/>
      <c r="D42" s="128"/>
      <c r="E42" s="128"/>
      <c r="F42" s="128"/>
      <c r="G42" s="128"/>
      <c r="H42" s="12">
        <f>COUNTIF(H25:H41,"P")+COUNTIF(H25:H41,"PP")+COUNTIF(H25:H41,"PP")</f>
        <v>5</v>
      </c>
      <c r="I42" s="12">
        <f>COUNTIF(I25:I41,"P")+COUNTIF(I25:I41,"PP")+COUNTIF(I25:I41,"PP")</f>
        <v>1</v>
      </c>
      <c r="J42" s="12">
        <f>COUNTIF(J25:J41,"P")+COUNTIF(J25:J41,"PP")+COUNTIF(J25:J41,"PP")</f>
        <v>2</v>
      </c>
      <c r="K42" s="12">
        <f>COUNTIF(K25:K41,"P")+COUNTIF(K25:K41,"PP")+COUNTIF(K25:K41,"PP")</f>
        <v>1</v>
      </c>
      <c r="L42" s="12">
        <f>COUNTIF(L25:L41,"P")+COUNTIF(L25:L41,"PP")+COUNTIF(L25:L41,"PP")</f>
        <v>2</v>
      </c>
      <c r="M42" s="12">
        <f>COUNTIF(M25:M41,"P")+COUNTIF(M25:M41,"PP")+COUNTIF(M25:M41,"PP")</f>
        <v>2</v>
      </c>
      <c r="N42" s="12">
        <f>COUNTIF(N25:N41,"P")+COUNTIF(N25:N41,"PP")+COUNTIF(N25:N41,"PP")</f>
        <v>3</v>
      </c>
      <c r="O42" s="12">
        <f>COUNTIF(O25:O41,"P")+COUNTIF(O25:O41,"PP")+COUNTIF(O25:O41,"PP")</f>
        <v>3</v>
      </c>
      <c r="P42" s="12">
        <f>COUNTIF(P25:P41,"P")+COUNTIF(P25:P41,"PP")+COUNTIF(P25:P41,"PP")</f>
        <v>2</v>
      </c>
      <c r="Q42" s="12">
        <f>COUNTIF(Q25:Q41,"P")+COUNTIF(Q25:Q41,"PP")+COUNTIF(Q25:Q41,"PP")</f>
        <v>3</v>
      </c>
      <c r="R42" s="12">
        <f>COUNTIF(R25:R41,"P")+COUNTIF(R25:R41,"PP")+COUNTIF(R25:R41,"PP")</f>
        <v>1</v>
      </c>
      <c r="S42" s="12">
        <f>COUNTIF(S25:S41,"P")+COUNTIF(S25:S41,"PP")+COUNTIF(S25:S41,"PP")</f>
        <v>4</v>
      </c>
      <c r="T42" s="12">
        <f>COUNTIF(T25:T41,"P")+COUNTIF(T25:T41,"PP")+COUNTIF(T25:T41,"PP")</f>
        <v>4</v>
      </c>
      <c r="U42" s="12">
        <f>COUNTIF(U25:U41,"P")+COUNTIF(U25:U41,"PP")+COUNTIF(U25:U41,"PP")</f>
        <v>4</v>
      </c>
      <c r="V42" s="12">
        <f>COUNTIF(V25:V41,"P")+COUNTIF(V25:V41,"PP")+COUNTIF(V25:V41,"PP")</f>
        <v>4</v>
      </c>
      <c r="W42" s="12">
        <f>COUNTIF(W25:W41,"P")+COUNTIF(W25:W41,"PP")+COUNTIF(W25:W41,"PP")</f>
        <v>1</v>
      </c>
      <c r="X42" s="12">
        <f>COUNTIF(X25:X41,"P")+COUNTIF(X25:X41,"PP")+COUNTIF(X25:X41,"PP")</f>
        <v>5</v>
      </c>
      <c r="Y42" s="12">
        <f>COUNTIF(Y25:Y41,"P")+COUNTIF(Y25:Y41,"PP")+COUNTIF(Y25:Y41,"PP")</f>
        <v>4</v>
      </c>
      <c r="Z42" s="12">
        <f>COUNTIF(Z25:Z41,"P")+COUNTIF(Z25:Z41,"PP")+COUNTIF(Z25:Z41,"PP")</f>
        <v>6</v>
      </c>
      <c r="AA42" s="12">
        <f>COUNTIF(AA25:AA41,"P")+COUNTIF(AA25:AA41,"PP")+COUNTIF(AA25:AA41,"PP")</f>
        <v>6</v>
      </c>
      <c r="AB42" s="12">
        <f>COUNTIF(AB25:AB41,"P")+COUNTIF(AB25:AB41,"PP")+COUNTIF(AB25:AB41,"PP")</f>
        <v>5</v>
      </c>
      <c r="AC42" s="12">
        <f>COUNTIF(AC25:AC41,"P")+COUNTIF(AC25:AC41,"PP")+COUNTIF(AC25:AC41,"PP")</f>
        <v>5</v>
      </c>
      <c r="AD42" s="12">
        <f>COUNTIF(AD25:AD41,"P")+COUNTIF(AD25:AD41,"PP")+COUNTIF(AD25:AD41,"PP")</f>
        <v>3</v>
      </c>
      <c r="AE42" s="12">
        <f>COUNTIF(AE25:AE41,"P")+COUNTIF(AE25:AE41,"PP")+COUNTIF(AE25:AE41,"PP")</f>
        <v>7</v>
      </c>
      <c r="AF42" s="12">
        <f>COUNTIF(AF25:AF41,"P")+COUNTIF(AF25:AF41,"PP")+COUNTIF(AF25:AF41,"PP")</f>
        <v>4</v>
      </c>
      <c r="AG42" s="12">
        <f>COUNTIF(AG25:AG41,"P")+COUNTIF(AG25:AG41,"PP")+COUNTIF(AG25:AG41,"PP")</f>
        <v>6</v>
      </c>
      <c r="AH42" s="12">
        <f>COUNTIF(AH25:AH41,"P")+COUNTIF(AH25:AH41,"PP")+COUNTIF(AH25:AH41,"PP")</f>
        <v>6</v>
      </c>
      <c r="AI42" s="12">
        <f>COUNTIF(AI25:AI41,"P")+COUNTIF(AI25:AI41,"PP")+COUNTIF(AI25:AI41,"PP")</f>
        <v>3</v>
      </c>
      <c r="AJ42" s="12">
        <f>COUNTIF(AJ25:AJ41,"P")+COUNTIF(AJ25:AJ41,"PP")+COUNTIF(AJ25:AJ41,"PP")</f>
        <v>3</v>
      </c>
      <c r="AK42" s="12">
        <f>COUNTIF(AK25:AK41,"P")+COUNTIF(AK25:AK41,"PP")+COUNTIF(AK25:AK41,"PP")</f>
        <v>1</v>
      </c>
      <c r="AL42" s="28">
        <f>SUM(AL25:AL41)</f>
        <v>106</v>
      </c>
      <c r="AN42" s="37">
        <f>SUM(AN25:AN41)</f>
        <v>58300</v>
      </c>
    </row>
    <row r="44" spans="1:40" ht="18" customHeight="1" x14ac:dyDescent="0.3">
      <c r="B44" s="134" t="s">
        <v>477</v>
      </c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37">
        <f>AN20+AN42</f>
        <v>170383.33333333331</v>
      </c>
    </row>
  </sheetData>
  <mergeCells count="11">
    <mergeCell ref="B44:AM44"/>
    <mergeCell ref="AM2:AM4"/>
    <mergeCell ref="AN2:AN4"/>
    <mergeCell ref="AM22:AM24"/>
    <mergeCell ref="AN22:AN24"/>
    <mergeCell ref="B42:G42"/>
    <mergeCell ref="B2:AL2"/>
    <mergeCell ref="B3:AL3"/>
    <mergeCell ref="B20:G20"/>
    <mergeCell ref="B22:AL22"/>
    <mergeCell ref="B23:AL23"/>
  </mergeCells>
  <conditionalFormatting sqref="C3">
    <cfRule type="duplicateValues" dxfId="151" priority="32"/>
  </conditionalFormatting>
  <conditionalFormatting sqref="C4">
    <cfRule type="duplicateValues" dxfId="150" priority="33"/>
  </conditionalFormatting>
  <conditionalFormatting sqref="C23">
    <cfRule type="duplicateValues" dxfId="149" priority="15"/>
  </conditionalFormatting>
  <conditionalFormatting sqref="C24">
    <cfRule type="duplicateValues" dxfId="148" priority="16"/>
  </conditionalFormatting>
  <conditionalFormatting sqref="C5:F5">
    <cfRule type="duplicateValues" dxfId="147" priority="30"/>
  </conditionalFormatting>
  <conditionalFormatting sqref="C6:F6">
    <cfRule type="duplicateValues" dxfId="146" priority="29"/>
  </conditionalFormatting>
  <conditionalFormatting sqref="C7:F7">
    <cfRule type="duplicateValues" dxfId="145" priority="21"/>
  </conditionalFormatting>
  <conditionalFormatting sqref="C8:F8">
    <cfRule type="duplicateValues" dxfId="144" priority="25"/>
  </conditionalFormatting>
  <conditionalFormatting sqref="C9:F9">
    <cfRule type="duplicateValues" dxfId="143" priority="28"/>
  </conditionalFormatting>
  <conditionalFormatting sqref="C10:F10">
    <cfRule type="duplicateValues" dxfId="142" priority="27"/>
  </conditionalFormatting>
  <conditionalFormatting sqref="C11:F11">
    <cfRule type="duplicateValues" dxfId="141" priority="24"/>
  </conditionalFormatting>
  <conditionalFormatting sqref="C12:F12">
    <cfRule type="duplicateValues" dxfId="140" priority="26"/>
  </conditionalFormatting>
  <conditionalFormatting sqref="C13:F15">
    <cfRule type="duplicateValues" dxfId="139" priority="22"/>
  </conditionalFormatting>
  <conditionalFormatting sqref="C16:F16">
    <cfRule type="duplicateValues" dxfId="138" priority="23"/>
  </conditionalFormatting>
  <conditionalFormatting sqref="C17:F17">
    <cfRule type="duplicateValues" dxfId="137" priority="20"/>
  </conditionalFormatting>
  <conditionalFormatting sqref="C18:F19">
    <cfRule type="duplicateValues" dxfId="136" priority="19"/>
  </conditionalFormatting>
  <conditionalFormatting sqref="C26:F26">
    <cfRule type="duplicateValues" dxfId="135" priority="4"/>
  </conditionalFormatting>
  <conditionalFormatting sqref="C28:F28">
    <cfRule type="duplicateValues" dxfId="134" priority="10"/>
  </conditionalFormatting>
  <conditionalFormatting sqref="C37 C29:F36">
    <cfRule type="duplicateValues" dxfId="133" priority="7"/>
  </conditionalFormatting>
  <conditionalFormatting sqref="C37:F37">
    <cfRule type="duplicateValues" dxfId="132" priority="9"/>
  </conditionalFormatting>
  <conditionalFormatting sqref="C38:F38">
    <cfRule type="duplicateValues" dxfId="131" priority="6"/>
  </conditionalFormatting>
  <conditionalFormatting sqref="C41:F41">
    <cfRule type="duplicateValues" dxfId="130" priority="1"/>
  </conditionalFormatting>
  <conditionalFormatting sqref="H3:AK19 H23:AK41">
    <cfRule type="cellIs" dxfId="129" priority="31" operator="equal">
      <formula>"a"</formula>
    </cfRule>
  </conditionalFormatting>
  <conditionalFormatting sqref="C6:C19">
    <cfRule type="duplicateValues" dxfId="128" priority="1828"/>
  </conditionalFormatting>
  <conditionalFormatting sqref="C39:F40">
    <cfRule type="duplicateValues" dxfId="127" priority="1842"/>
  </conditionalFormatting>
  <conditionalFormatting sqref="C27:F27 C28:C37">
    <cfRule type="duplicateValues" dxfId="126" priority="1966"/>
  </conditionalFormatting>
  <conditionalFormatting sqref="C26:C41">
    <cfRule type="duplicateValues" dxfId="125" priority="1973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15"/>
  <sheetViews>
    <sheetView workbookViewId="0">
      <selection activeCell="W13" sqref="W13"/>
    </sheetView>
  </sheetViews>
  <sheetFormatPr defaultRowHeight="14.4" x14ac:dyDescent="0.3"/>
  <cols>
    <col min="1" max="1" width="3" style="1" customWidth="1"/>
    <col min="2" max="2" width="5.33203125" style="1" customWidth="1"/>
    <col min="3" max="3" width="7.88671875" style="1" customWidth="1"/>
    <col min="4" max="4" width="7.33203125" style="1" customWidth="1"/>
    <col min="5" max="5" width="16.77734375" style="2" customWidth="1"/>
    <col min="6" max="6" width="16.77734375" style="1" customWidth="1"/>
    <col min="7" max="7" width="5.5546875" style="1" customWidth="1"/>
    <col min="8" max="37" width="3.77734375" style="1" customWidth="1"/>
    <col min="38" max="38" width="3.77734375" customWidth="1"/>
    <col min="39" max="39" width="5" customWidth="1"/>
    <col min="40" max="40" width="8.44140625" customWidth="1"/>
    <col min="41" max="41" width="11.6640625" customWidth="1"/>
  </cols>
  <sheetData>
    <row r="2" spans="1:41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6"/>
      <c r="AN2" s="129" t="s">
        <v>471</v>
      </c>
      <c r="AO2" s="129" t="s">
        <v>473</v>
      </c>
    </row>
    <row r="3" spans="1:41" ht="18" customHeight="1" x14ac:dyDescent="0.3">
      <c r="B3" s="136" t="s">
        <v>793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29"/>
      <c r="AO3" s="129"/>
    </row>
    <row r="4" spans="1:41" s="54" customFormat="1" ht="18" customHeight="1" x14ac:dyDescent="0.2">
      <c r="A4" s="24"/>
      <c r="B4" s="46" t="s">
        <v>5</v>
      </c>
      <c r="C4" s="46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6">
        <v>31</v>
      </c>
      <c r="AM4" s="48" t="s">
        <v>6</v>
      </c>
      <c r="AN4" s="129"/>
      <c r="AO4" s="129"/>
    </row>
    <row r="5" spans="1:41" s="23" customFormat="1" ht="18" customHeight="1" x14ac:dyDescent="0.3">
      <c r="A5" s="1"/>
      <c r="B5" s="73">
        <v>1</v>
      </c>
      <c r="C5" s="173" t="s">
        <v>204</v>
      </c>
      <c r="D5" s="10">
        <v>33</v>
      </c>
      <c r="E5" s="21" t="s">
        <v>205</v>
      </c>
      <c r="F5" s="21" t="s">
        <v>206</v>
      </c>
      <c r="G5" s="11" t="s">
        <v>0</v>
      </c>
      <c r="H5" s="9"/>
      <c r="I5" s="9"/>
      <c r="J5" s="9"/>
      <c r="K5" s="9"/>
      <c r="L5" s="9"/>
      <c r="M5" s="9" t="s">
        <v>48</v>
      </c>
      <c r="N5" s="9" t="s">
        <v>48</v>
      </c>
      <c r="O5" s="9"/>
      <c r="P5" s="9"/>
      <c r="Q5" s="9"/>
      <c r="R5" s="9"/>
      <c r="S5" s="9"/>
      <c r="T5" s="9" t="s">
        <v>48</v>
      </c>
      <c r="U5" s="9" t="s">
        <v>48</v>
      </c>
      <c r="V5" s="9"/>
      <c r="W5" s="9"/>
      <c r="X5" s="9"/>
      <c r="Y5" s="9"/>
      <c r="Z5" s="9"/>
      <c r="AA5" s="9" t="s">
        <v>48</v>
      </c>
      <c r="AB5" s="9" t="s">
        <v>48</v>
      </c>
      <c r="AC5" s="9"/>
      <c r="AD5" s="9"/>
      <c r="AE5" s="9"/>
      <c r="AF5" s="9"/>
      <c r="AG5" s="9"/>
      <c r="AH5" s="9" t="s">
        <v>48</v>
      </c>
      <c r="AI5" s="9" t="s">
        <v>48</v>
      </c>
      <c r="AJ5" s="9"/>
      <c r="AK5" s="9"/>
      <c r="AL5" s="9"/>
      <c r="AM5" s="12">
        <f t="shared" ref="AM5:AM14" si="0">COUNTIF(I5:AL5,"p")+COUNTIF(I5:AL5,"pp")+COUNTIF(I5:AL5,"pp")</f>
        <v>8</v>
      </c>
      <c r="AN5" s="36">
        <v>600</v>
      </c>
      <c r="AO5" s="36">
        <f>AM5*AN5</f>
        <v>4800</v>
      </c>
    </row>
    <row r="6" spans="1:41" s="23" customFormat="1" ht="18" customHeight="1" x14ac:dyDescent="0.3">
      <c r="A6" s="1"/>
      <c r="B6" s="73">
        <v>2</v>
      </c>
      <c r="C6" s="110" t="s">
        <v>207</v>
      </c>
      <c r="D6" s="10">
        <v>147</v>
      </c>
      <c r="E6" s="21" t="s">
        <v>72</v>
      </c>
      <c r="F6" s="21" t="s">
        <v>189</v>
      </c>
      <c r="G6" s="10" t="s">
        <v>1</v>
      </c>
      <c r="H6" s="9"/>
      <c r="I6" s="9"/>
      <c r="J6" s="9"/>
      <c r="K6" s="9"/>
      <c r="L6" s="9"/>
      <c r="M6" s="9" t="s">
        <v>48</v>
      </c>
      <c r="N6" s="9" t="s">
        <v>48</v>
      </c>
      <c r="O6" s="9"/>
      <c r="P6" s="9"/>
      <c r="Q6" s="9"/>
      <c r="R6" s="9"/>
      <c r="S6" s="9"/>
      <c r="T6" s="9" t="s">
        <v>48</v>
      </c>
      <c r="U6" s="9" t="s">
        <v>48</v>
      </c>
      <c r="V6" s="9"/>
      <c r="W6" s="9"/>
      <c r="X6" s="9"/>
      <c r="Y6" s="9"/>
      <c r="Z6" s="9"/>
      <c r="AA6" s="9" t="s">
        <v>48</v>
      </c>
      <c r="AB6" s="9" t="s">
        <v>48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12">
        <f t="shared" si="0"/>
        <v>6</v>
      </c>
      <c r="AN6" s="36">
        <v>550</v>
      </c>
      <c r="AO6" s="36">
        <f t="shared" ref="AO6:AO14" si="1">AM6*AN6</f>
        <v>3300</v>
      </c>
    </row>
    <row r="7" spans="1:41" s="23" customFormat="1" ht="18" customHeight="1" x14ac:dyDescent="0.3">
      <c r="A7" s="1"/>
      <c r="B7" s="73">
        <v>3</v>
      </c>
      <c r="C7" s="113" t="s">
        <v>804</v>
      </c>
      <c r="D7" s="10"/>
      <c r="E7" s="20" t="s">
        <v>177</v>
      </c>
      <c r="F7" s="20" t="s">
        <v>359</v>
      </c>
      <c r="G7" s="10" t="s">
        <v>1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 t="s">
        <v>48</v>
      </c>
      <c r="AI7" s="9" t="s">
        <v>48</v>
      </c>
      <c r="AJ7" s="9"/>
      <c r="AK7" s="9"/>
      <c r="AL7" s="9"/>
      <c r="AM7" s="12">
        <f t="shared" si="0"/>
        <v>2</v>
      </c>
      <c r="AN7" s="36">
        <v>550</v>
      </c>
      <c r="AO7" s="36">
        <f t="shared" si="1"/>
        <v>1100</v>
      </c>
    </row>
    <row r="8" spans="1:41" s="23" customFormat="1" ht="18" customHeight="1" x14ac:dyDescent="0.3">
      <c r="A8" s="1"/>
      <c r="B8" s="73">
        <v>4</v>
      </c>
      <c r="C8" s="10" t="s">
        <v>305</v>
      </c>
      <c r="D8" s="10"/>
      <c r="E8" s="20" t="s">
        <v>182</v>
      </c>
      <c r="F8" s="20" t="s">
        <v>304</v>
      </c>
      <c r="G8" s="10" t="s">
        <v>1</v>
      </c>
      <c r="H8" s="9"/>
      <c r="I8" s="9"/>
      <c r="J8" s="9"/>
      <c r="K8" s="9"/>
      <c r="L8" s="9"/>
      <c r="M8" s="9" t="s">
        <v>48</v>
      </c>
      <c r="N8" s="9" t="s">
        <v>48</v>
      </c>
      <c r="O8" s="9"/>
      <c r="P8" s="9"/>
      <c r="Q8" s="9"/>
      <c r="R8" s="9"/>
      <c r="S8" s="9"/>
      <c r="T8" s="9" t="s">
        <v>48</v>
      </c>
      <c r="U8" s="9" t="s">
        <v>48</v>
      </c>
      <c r="V8" s="9"/>
      <c r="W8" s="9"/>
      <c r="X8" s="9"/>
      <c r="Y8" s="9"/>
      <c r="Z8" s="9"/>
      <c r="AA8" s="9" t="s">
        <v>48</v>
      </c>
      <c r="AB8" s="9" t="s">
        <v>48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12">
        <f t="shared" si="0"/>
        <v>6</v>
      </c>
      <c r="AN8" s="36">
        <v>550</v>
      </c>
      <c r="AO8" s="36">
        <f t="shared" si="1"/>
        <v>3300</v>
      </c>
    </row>
    <row r="9" spans="1:41" s="23" customFormat="1" ht="18" customHeight="1" x14ac:dyDescent="0.3">
      <c r="A9" s="1"/>
      <c r="B9" s="73">
        <v>5</v>
      </c>
      <c r="C9" s="173">
        <v>33638</v>
      </c>
      <c r="D9" s="110"/>
      <c r="E9" s="21" t="s">
        <v>379</v>
      </c>
      <c r="F9" s="21" t="s">
        <v>110</v>
      </c>
      <c r="G9" s="10" t="s"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 t="s">
        <v>48</v>
      </c>
      <c r="AI9" s="9" t="s">
        <v>48</v>
      </c>
      <c r="AJ9" s="9"/>
      <c r="AK9" s="9"/>
      <c r="AL9" s="9"/>
      <c r="AM9" s="12">
        <f t="shared" si="0"/>
        <v>2</v>
      </c>
      <c r="AN9" s="36">
        <v>550</v>
      </c>
      <c r="AO9" s="36">
        <f t="shared" si="1"/>
        <v>1100</v>
      </c>
    </row>
    <row r="10" spans="1:41" s="23" customFormat="1" ht="18" customHeight="1" x14ac:dyDescent="0.3">
      <c r="A10" s="1"/>
      <c r="B10" s="73">
        <v>6</v>
      </c>
      <c r="C10" s="110" t="s">
        <v>210</v>
      </c>
      <c r="D10" s="10"/>
      <c r="E10" s="21" t="s">
        <v>211</v>
      </c>
      <c r="F10" s="21" t="s">
        <v>212</v>
      </c>
      <c r="G10" s="10" t="s">
        <v>1</v>
      </c>
      <c r="H10" s="9"/>
      <c r="I10" s="9"/>
      <c r="J10" s="9"/>
      <c r="K10" s="9"/>
      <c r="L10" s="9"/>
      <c r="M10" s="9" t="s">
        <v>48</v>
      </c>
      <c r="N10" s="9" t="s">
        <v>48</v>
      </c>
      <c r="O10" s="9"/>
      <c r="P10" s="9"/>
      <c r="Q10" s="9"/>
      <c r="R10" s="9"/>
      <c r="S10" s="9"/>
      <c r="T10" s="9" t="s">
        <v>48</v>
      </c>
      <c r="U10" s="9" t="s">
        <v>48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2">
        <f t="shared" si="0"/>
        <v>4</v>
      </c>
      <c r="AN10" s="36">
        <v>550</v>
      </c>
      <c r="AO10" s="36">
        <f t="shared" si="1"/>
        <v>2200</v>
      </c>
    </row>
    <row r="11" spans="1:41" s="23" customFormat="1" ht="18" customHeight="1" x14ac:dyDescent="0.3">
      <c r="A11" s="1"/>
      <c r="B11" s="73">
        <v>7</v>
      </c>
      <c r="C11" s="110">
        <v>34586</v>
      </c>
      <c r="D11" s="10"/>
      <c r="E11" s="21" t="s">
        <v>269</v>
      </c>
      <c r="F11" s="21" t="s">
        <v>175</v>
      </c>
      <c r="G11" s="10" t="s">
        <v>1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 t="s">
        <v>48</v>
      </c>
      <c r="AB11" s="92" t="s">
        <v>48</v>
      </c>
      <c r="AC11" s="92"/>
      <c r="AD11" s="92"/>
      <c r="AE11" s="92"/>
      <c r="AF11" s="92"/>
      <c r="AG11" s="92"/>
      <c r="AH11" s="92" t="s">
        <v>48</v>
      </c>
      <c r="AI11" s="92" t="s">
        <v>48</v>
      </c>
      <c r="AJ11" s="92"/>
      <c r="AK11" s="92"/>
      <c r="AL11" s="92"/>
      <c r="AM11" s="12">
        <f t="shared" si="0"/>
        <v>4</v>
      </c>
      <c r="AN11" s="36">
        <v>550</v>
      </c>
      <c r="AO11" s="36">
        <f t="shared" si="1"/>
        <v>2200</v>
      </c>
    </row>
    <row r="12" spans="1:41" s="23" customFormat="1" ht="18" customHeight="1" x14ac:dyDescent="0.3">
      <c r="A12" s="1"/>
      <c r="B12" s="73">
        <v>8</v>
      </c>
      <c r="C12" s="117" t="s">
        <v>626</v>
      </c>
      <c r="D12" s="10"/>
      <c r="E12" s="20" t="s">
        <v>625</v>
      </c>
      <c r="F12" s="20" t="s">
        <v>175</v>
      </c>
      <c r="G12" s="10" t="s">
        <v>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 t="s">
        <v>48</v>
      </c>
      <c r="AI12" s="9" t="s">
        <v>48</v>
      </c>
      <c r="AJ12" s="9"/>
      <c r="AK12" s="9"/>
      <c r="AL12" s="9"/>
      <c r="AM12" s="12">
        <f t="shared" si="0"/>
        <v>2</v>
      </c>
      <c r="AN12" s="36">
        <v>550</v>
      </c>
      <c r="AO12" s="36">
        <f t="shared" si="1"/>
        <v>1100</v>
      </c>
    </row>
    <row r="13" spans="1:41" ht="17.25" customHeight="1" x14ac:dyDescent="0.3">
      <c r="B13" s="73">
        <v>9</v>
      </c>
      <c r="C13" s="110" t="s">
        <v>496</v>
      </c>
      <c r="D13" s="10"/>
      <c r="E13" s="42" t="s">
        <v>495</v>
      </c>
      <c r="F13" s="42" t="s">
        <v>209</v>
      </c>
      <c r="G13" s="10" t="s">
        <v>1</v>
      </c>
      <c r="H13" s="9"/>
      <c r="I13" s="9"/>
      <c r="J13" s="9"/>
      <c r="K13" s="9"/>
      <c r="L13" s="9"/>
      <c r="M13" s="9" t="s">
        <v>48</v>
      </c>
      <c r="N13" s="9" t="s">
        <v>48</v>
      </c>
      <c r="O13" s="9"/>
      <c r="P13" s="9"/>
      <c r="Q13" s="9"/>
      <c r="R13" s="9"/>
      <c r="S13" s="9"/>
      <c r="T13" s="9" t="s">
        <v>48</v>
      </c>
      <c r="U13" s="9" t="s">
        <v>48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2">
        <f t="shared" si="0"/>
        <v>4</v>
      </c>
      <c r="AN13" s="36">
        <v>550</v>
      </c>
      <c r="AO13" s="36">
        <f t="shared" si="1"/>
        <v>2200</v>
      </c>
    </row>
    <row r="14" spans="1:41" ht="18" customHeight="1" x14ac:dyDescent="0.3">
      <c r="B14" s="73">
        <v>10</v>
      </c>
      <c r="C14" s="113" t="s">
        <v>802</v>
      </c>
      <c r="D14" s="10"/>
      <c r="E14" s="20" t="s">
        <v>622</v>
      </c>
      <c r="F14" s="20" t="s">
        <v>660</v>
      </c>
      <c r="G14" s="10" t="s">
        <v>1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 t="s">
        <v>48</v>
      </c>
      <c r="AB14" s="9" t="s">
        <v>48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2">
        <f t="shared" si="0"/>
        <v>2</v>
      </c>
      <c r="AN14" s="36">
        <v>550</v>
      </c>
      <c r="AO14" s="36">
        <f t="shared" si="1"/>
        <v>1100</v>
      </c>
    </row>
    <row r="15" spans="1:41" ht="18" customHeight="1" x14ac:dyDescent="0.3">
      <c r="B15" s="128" t="s">
        <v>15</v>
      </c>
      <c r="C15" s="128"/>
      <c r="D15" s="128"/>
      <c r="E15" s="128"/>
      <c r="F15" s="128"/>
      <c r="G15" s="128"/>
      <c r="H15" s="12">
        <f>COUNTIF(H5:H14,"P")+COUNTIF(H5:H14,"PP")+COUNTIF(H5:H14,"PP")</f>
        <v>0</v>
      </c>
      <c r="I15" s="12">
        <f t="shared" ref="I15:AL15" si="2">COUNTIF(I5:I14,"P")+COUNTIF(I5:I14,"PP")+COUNTIF(I5:I14,"PP")</f>
        <v>0</v>
      </c>
      <c r="J15" s="12">
        <f t="shared" si="2"/>
        <v>0</v>
      </c>
      <c r="K15" s="12">
        <f t="shared" si="2"/>
        <v>0</v>
      </c>
      <c r="L15" s="12">
        <f t="shared" si="2"/>
        <v>0</v>
      </c>
      <c r="M15" s="12">
        <f t="shared" si="2"/>
        <v>5</v>
      </c>
      <c r="N15" s="12">
        <f t="shared" si="2"/>
        <v>5</v>
      </c>
      <c r="O15" s="12">
        <f t="shared" si="2"/>
        <v>0</v>
      </c>
      <c r="P15" s="12">
        <f t="shared" si="2"/>
        <v>0</v>
      </c>
      <c r="Q15" s="12">
        <f t="shared" si="2"/>
        <v>0</v>
      </c>
      <c r="R15" s="12">
        <f t="shared" si="2"/>
        <v>0</v>
      </c>
      <c r="S15" s="12">
        <f t="shared" si="2"/>
        <v>0</v>
      </c>
      <c r="T15" s="12">
        <f t="shared" si="2"/>
        <v>5</v>
      </c>
      <c r="U15" s="12">
        <f t="shared" si="2"/>
        <v>5</v>
      </c>
      <c r="V15" s="12">
        <f t="shared" si="2"/>
        <v>0</v>
      </c>
      <c r="W15" s="12">
        <f t="shared" si="2"/>
        <v>0</v>
      </c>
      <c r="X15" s="12">
        <f t="shared" si="2"/>
        <v>0</v>
      </c>
      <c r="Y15" s="12">
        <f t="shared" si="2"/>
        <v>0</v>
      </c>
      <c r="Z15" s="12">
        <f t="shared" si="2"/>
        <v>0</v>
      </c>
      <c r="AA15" s="12">
        <f t="shared" si="2"/>
        <v>5</v>
      </c>
      <c r="AB15" s="12">
        <f t="shared" si="2"/>
        <v>5</v>
      </c>
      <c r="AC15" s="12">
        <f t="shared" si="2"/>
        <v>0</v>
      </c>
      <c r="AD15" s="12">
        <f t="shared" si="2"/>
        <v>0</v>
      </c>
      <c r="AE15" s="12">
        <f t="shared" si="2"/>
        <v>0</v>
      </c>
      <c r="AF15" s="12">
        <f t="shared" si="2"/>
        <v>0</v>
      </c>
      <c r="AG15" s="12">
        <f t="shared" si="2"/>
        <v>0</v>
      </c>
      <c r="AH15" s="12">
        <f t="shared" si="2"/>
        <v>5</v>
      </c>
      <c r="AI15" s="12">
        <f t="shared" si="2"/>
        <v>5</v>
      </c>
      <c r="AJ15" s="12">
        <f t="shared" si="2"/>
        <v>0</v>
      </c>
      <c r="AK15" s="12">
        <f t="shared" si="2"/>
        <v>0</v>
      </c>
      <c r="AL15" s="12">
        <f t="shared" si="2"/>
        <v>0</v>
      </c>
      <c r="AM15" s="13">
        <f>SUM(AM5:AM14)</f>
        <v>40</v>
      </c>
      <c r="AO15" s="36">
        <f>SUM(AO5:AO14)</f>
        <v>22400</v>
      </c>
    </row>
  </sheetData>
  <mergeCells count="5">
    <mergeCell ref="B2:AM2"/>
    <mergeCell ref="B3:AM3"/>
    <mergeCell ref="B15:G15"/>
    <mergeCell ref="AN2:AN4"/>
    <mergeCell ref="AO2:AO4"/>
  </mergeCells>
  <conditionalFormatting sqref="C3">
    <cfRule type="duplicateValues" dxfId="124" priority="20"/>
  </conditionalFormatting>
  <conditionalFormatting sqref="C4">
    <cfRule type="duplicateValues" dxfId="123" priority="21"/>
  </conditionalFormatting>
  <conditionalFormatting sqref="C5 C7:C9">
    <cfRule type="duplicateValues" dxfId="122" priority="5"/>
  </conditionalFormatting>
  <conditionalFormatting sqref="C5:F5">
    <cfRule type="duplicateValues" dxfId="121" priority="4"/>
  </conditionalFormatting>
  <conditionalFormatting sqref="C7:F7">
    <cfRule type="duplicateValues" dxfId="120" priority="1"/>
  </conditionalFormatting>
  <conditionalFormatting sqref="C8:F8">
    <cfRule type="duplicateValues" dxfId="119" priority="2"/>
  </conditionalFormatting>
  <conditionalFormatting sqref="C9:F9">
    <cfRule type="duplicateValues" dxfId="118" priority="3"/>
  </conditionalFormatting>
  <conditionalFormatting sqref="C12:F12">
    <cfRule type="duplicateValues" dxfId="117" priority="12"/>
  </conditionalFormatting>
  <conditionalFormatting sqref="C13:F13">
    <cfRule type="duplicateValues" dxfId="116" priority="14"/>
  </conditionalFormatting>
  <conditionalFormatting sqref="C14:F14">
    <cfRule type="duplicateValues" dxfId="115" priority="10"/>
  </conditionalFormatting>
  <conditionalFormatting sqref="H3:AL14">
    <cfRule type="cellIs" dxfId="114" priority="19" operator="equal">
      <formula>"a"</formula>
    </cfRule>
  </conditionalFormatting>
  <conditionalFormatting sqref="C10:F11">
    <cfRule type="duplicateValues" dxfId="113" priority="1885"/>
  </conditionalFormatting>
  <conditionalFormatting sqref="C10:C14">
    <cfRule type="duplicateValues" dxfId="112" priority="1888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16" sqref="C16"/>
    </sheetView>
  </sheetViews>
  <sheetFormatPr defaultRowHeight="14.4" x14ac:dyDescent="0.3"/>
  <cols>
    <col min="1" max="1" width="3.109375" style="1" customWidth="1"/>
    <col min="2" max="2" width="4.6640625" style="1" customWidth="1"/>
    <col min="3" max="3" width="8.44140625" style="1" customWidth="1"/>
    <col min="4" max="4" width="6.6640625" style="1" customWidth="1"/>
    <col min="5" max="5" width="19.33203125" style="2" customWidth="1"/>
    <col min="6" max="6" width="19.33203125" style="1" customWidth="1"/>
    <col min="7" max="7" width="5.5546875" style="1" customWidth="1"/>
    <col min="8" max="37" width="3.5546875" style="1" customWidth="1"/>
    <col min="38" max="38" width="5.33203125" bestFit="1" customWidth="1"/>
    <col min="39" max="39" width="9.44140625" customWidth="1"/>
    <col min="40" max="40" width="12.33203125" customWidth="1"/>
    <col min="43" max="43" width="8.88671875" customWidth="1"/>
  </cols>
  <sheetData>
    <row r="2" spans="1:40" ht="20.399999999999999" customHeight="1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29" t="s">
        <v>471</v>
      </c>
      <c r="AN2" s="129" t="s">
        <v>473</v>
      </c>
    </row>
    <row r="3" spans="1:40" ht="18" customHeight="1" x14ac:dyDescent="0.3">
      <c r="B3" s="136" t="s">
        <v>792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29"/>
      <c r="AN3" s="129"/>
    </row>
    <row r="4" spans="1:40" s="67" customFormat="1" ht="18" customHeight="1" x14ac:dyDescent="0.2">
      <c r="A4" s="24"/>
      <c r="B4" s="46" t="s">
        <v>466</v>
      </c>
      <c r="C4" s="46" t="s">
        <v>2</v>
      </c>
      <c r="D4" s="46" t="s">
        <v>16</v>
      </c>
      <c r="E4" s="46" t="s">
        <v>3</v>
      </c>
      <c r="F4" s="46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29"/>
      <c r="AN4" s="129"/>
    </row>
    <row r="5" spans="1:40" s="66" customFormat="1" ht="16.2" customHeight="1" x14ac:dyDescent="0.3">
      <c r="A5" s="25"/>
      <c r="B5" s="73">
        <v>1</v>
      </c>
      <c r="C5" s="110" t="s">
        <v>398</v>
      </c>
      <c r="D5" s="10"/>
      <c r="E5" s="21" t="s">
        <v>282</v>
      </c>
      <c r="F5" s="21" t="s">
        <v>78</v>
      </c>
      <c r="G5" s="11" t="s">
        <v>0</v>
      </c>
      <c r="H5" s="9" t="s">
        <v>48</v>
      </c>
      <c r="I5" s="9" t="s">
        <v>48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2">
        <f t="shared" ref="AL5:AL30" si="0">COUNTIF(H5:AK5,"p")+COUNTIF(H5:AK5,"pp")+COUNTIF(H5:AK5,"pp")</f>
        <v>2</v>
      </c>
      <c r="AM5" s="36">
        <v>600</v>
      </c>
      <c r="AN5" s="36">
        <f t="shared" ref="AN5:AN30" si="1">AL5*AM5</f>
        <v>1200</v>
      </c>
    </row>
    <row r="6" spans="1:40" s="66" customFormat="1" ht="16.2" customHeight="1" x14ac:dyDescent="0.3">
      <c r="A6" s="25"/>
      <c r="B6" s="73">
        <v>2</v>
      </c>
      <c r="C6" s="10" t="s">
        <v>167</v>
      </c>
      <c r="D6" s="10"/>
      <c r="E6" s="20" t="s">
        <v>168</v>
      </c>
      <c r="F6" s="20" t="s">
        <v>169</v>
      </c>
      <c r="G6" s="11" t="s">
        <v>0</v>
      </c>
      <c r="H6" s="9"/>
      <c r="I6" s="9"/>
      <c r="J6" s="9"/>
      <c r="K6" s="9"/>
      <c r="L6" s="9"/>
      <c r="M6" s="9" t="s">
        <v>48</v>
      </c>
      <c r="N6" s="9" t="s">
        <v>48</v>
      </c>
      <c r="O6" s="9" t="s">
        <v>48</v>
      </c>
      <c r="P6" s="9" t="s">
        <v>48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 t="s">
        <v>48</v>
      </c>
      <c r="AI6" s="9" t="s">
        <v>48</v>
      </c>
      <c r="AJ6" s="9" t="s">
        <v>48</v>
      </c>
      <c r="AK6" s="9" t="s">
        <v>48</v>
      </c>
      <c r="AL6" s="12">
        <f t="shared" si="0"/>
        <v>8</v>
      </c>
      <c r="AM6" s="36">
        <v>600</v>
      </c>
      <c r="AN6" s="36">
        <f t="shared" si="1"/>
        <v>4800</v>
      </c>
    </row>
    <row r="7" spans="1:40" s="66" customFormat="1" ht="16.2" customHeight="1" x14ac:dyDescent="0.3">
      <c r="A7" s="25"/>
      <c r="B7" s="73">
        <v>3</v>
      </c>
      <c r="C7" s="110" t="s">
        <v>192</v>
      </c>
      <c r="D7" s="10"/>
      <c r="E7" s="21" t="s">
        <v>193</v>
      </c>
      <c r="F7" s="21" t="s">
        <v>194</v>
      </c>
      <c r="G7" s="11" t="s">
        <v>0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 t="s">
        <v>48</v>
      </c>
      <c r="AB7" s="95" t="s">
        <v>48</v>
      </c>
      <c r="AC7" s="95" t="s">
        <v>48</v>
      </c>
      <c r="AD7" s="95" t="s">
        <v>48</v>
      </c>
      <c r="AE7" s="95"/>
      <c r="AF7" s="95"/>
      <c r="AG7" s="95"/>
      <c r="AH7" s="95"/>
      <c r="AI7" s="95"/>
      <c r="AJ7" s="95"/>
      <c r="AK7" s="95"/>
      <c r="AL7" s="12">
        <f t="shared" si="0"/>
        <v>4</v>
      </c>
      <c r="AM7" s="36">
        <v>600</v>
      </c>
      <c r="AN7" s="36">
        <f t="shared" si="1"/>
        <v>2400</v>
      </c>
    </row>
    <row r="8" spans="1:40" s="66" customFormat="1" ht="16.2" customHeight="1" x14ac:dyDescent="0.3">
      <c r="A8" s="25"/>
      <c r="B8" s="73">
        <v>4</v>
      </c>
      <c r="C8" s="10">
        <v>34006</v>
      </c>
      <c r="D8" s="10"/>
      <c r="E8" s="20" t="s">
        <v>53</v>
      </c>
      <c r="F8" s="20" t="s">
        <v>54</v>
      </c>
      <c r="G8" s="10" t="s">
        <v>1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 t="s">
        <v>48</v>
      </c>
      <c r="AI8" s="95" t="s">
        <v>48</v>
      </c>
      <c r="AJ8" s="95" t="s">
        <v>48</v>
      </c>
      <c r="AK8" s="95" t="s">
        <v>48</v>
      </c>
      <c r="AL8" s="12">
        <f t="shared" si="0"/>
        <v>4</v>
      </c>
      <c r="AM8" s="36">
        <v>550</v>
      </c>
      <c r="AN8" s="36">
        <f t="shared" si="1"/>
        <v>2200</v>
      </c>
    </row>
    <row r="9" spans="1:40" s="66" customFormat="1" ht="16.2" customHeight="1" x14ac:dyDescent="0.3">
      <c r="A9" s="25"/>
      <c r="B9" s="73">
        <v>5</v>
      </c>
      <c r="C9" s="110" t="s">
        <v>761</v>
      </c>
      <c r="D9" s="10"/>
      <c r="E9" s="20" t="s">
        <v>421</v>
      </c>
      <c r="F9" s="20" t="s">
        <v>449</v>
      </c>
      <c r="G9" s="10" t="s">
        <v>1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 t="s">
        <v>48</v>
      </c>
      <c r="AI9" s="95" t="s">
        <v>48</v>
      </c>
      <c r="AJ9" s="95" t="s">
        <v>48</v>
      </c>
      <c r="AK9" s="95" t="s">
        <v>48</v>
      </c>
      <c r="AL9" s="12">
        <f t="shared" si="0"/>
        <v>4</v>
      </c>
      <c r="AM9" s="36">
        <v>550</v>
      </c>
      <c r="AN9" s="36">
        <f t="shared" si="1"/>
        <v>2200</v>
      </c>
    </row>
    <row r="10" spans="1:40" s="66" customFormat="1" ht="16.2" customHeight="1" x14ac:dyDescent="0.3">
      <c r="A10" s="25"/>
      <c r="B10" s="73">
        <v>6</v>
      </c>
      <c r="C10" s="10" t="s">
        <v>762</v>
      </c>
      <c r="D10" s="10"/>
      <c r="E10" s="20" t="s">
        <v>774</v>
      </c>
      <c r="F10" s="20" t="s">
        <v>731</v>
      </c>
      <c r="G10" s="10" t="s">
        <v>1</v>
      </c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 t="s">
        <v>48</v>
      </c>
      <c r="AI10" s="95" t="s">
        <v>48</v>
      </c>
      <c r="AJ10" s="95" t="s">
        <v>48</v>
      </c>
      <c r="AK10" s="95" t="s">
        <v>48</v>
      </c>
      <c r="AL10" s="12">
        <f t="shared" si="0"/>
        <v>4</v>
      </c>
      <c r="AM10" s="36">
        <v>550</v>
      </c>
      <c r="AN10" s="36">
        <f t="shared" si="1"/>
        <v>2200</v>
      </c>
    </row>
    <row r="11" spans="1:40" s="66" customFormat="1" ht="16.2" customHeight="1" x14ac:dyDescent="0.3">
      <c r="A11" s="25"/>
      <c r="B11" s="73">
        <v>7</v>
      </c>
      <c r="C11" s="173" t="s">
        <v>510</v>
      </c>
      <c r="D11" s="10"/>
      <c r="E11" s="21" t="s">
        <v>186</v>
      </c>
      <c r="F11" s="21" t="s">
        <v>187</v>
      </c>
      <c r="G11" s="10" t="s">
        <v>1</v>
      </c>
      <c r="H11" s="9"/>
      <c r="I11" s="9"/>
      <c r="J11" s="9"/>
      <c r="K11" s="9"/>
      <c r="L11" s="9"/>
      <c r="M11" s="9" t="s">
        <v>48</v>
      </c>
      <c r="N11" s="9" t="s">
        <v>48</v>
      </c>
      <c r="O11" s="9" t="s">
        <v>48</v>
      </c>
      <c r="P11" s="9" t="s">
        <v>48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2">
        <f t="shared" si="0"/>
        <v>4</v>
      </c>
      <c r="AM11" s="36">
        <v>550</v>
      </c>
      <c r="AN11" s="36">
        <f t="shared" si="1"/>
        <v>2200</v>
      </c>
    </row>
    <row r="12" spans="1:40" s="66" customFormat="1" ht="16.2" customHeight="1" x14ac:dyDescent="0.3">
      <c r="A12" s="25"/>
      <c r="B12" s="73">
        <v>8</v>
      </c>
      <c r="C12" s="173" t="s">
        <v>439</v>
      </c>
      <c r="D12" s="10"/>
      <c r="E12" s="21" t="s">
        <v>223</v>
      </c>
      <c r="F12" s="21" t="s">
        <v>224</v>
      </c>
      <c r="G12" s="10" t="s">
        <v>1</v>
      </c>
      <c r="H12" s="9"/>
      <c r="I12" s="9"/>
      <c r="J12" s="9"/>
      <c r="K12" s="9"/>
      <c r="L12" s="9"/>
      <c r="M12" s="9" t="s">
        <v>48</v>
      </c>
      <c r="N12" s="9" t="s">
        <v>48</v>
      </c>
      <c r="O12" s="9" t="s">
        <v>48</v>
      </c>
      <c r="P12" s="9" t="s">
        <v>48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12">
        <f t="shared" si="0"/>
        <v>4</v>
      </c>
      <c r="AM12" s="36">
        <v>550</v>
      </c>
      <c r="AN12" s="36">
        <f t="shared" si="1"/>
        <v>2200</v>
      </c>
    </row>
    <row r="13" spans="1:40" s="66" customFormat="1" ht="16.2" customHeight="1" x14ac:dyDescent="0.3">
      <c r="A13" s="25"/>
      <c r="B13" s="73">
        <v>9</v>
      </c>
      <c r="C13" s="173" t="s">
        <v>401</v>
      </c>
      <c r="D13" s="10"/>
      <c r="E13" s="21" t="s">
        <v>399</v>
      </c>
      <c r="F13" s="21" t="s">
        <v>400</v>
      </c>
      <c r="G13" s="10" t="s">
        <v>1</v>
      </c>
      <c r="H13" s="9" t="s">
        <v>48</v>
      </c>
      <c r="I13" s="9" t="s">
        <v>48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2">
        <f t="shared" si="0"/>
        <v>2</v>
      </c>
      <c r="AM13" s="36">
        <v>550</v>
      </c>
      <c r="AN13" s="36">
        <f t="shared" si="1"/>
        <v>1100</v>
      </c>
    </row>
    <row r="14" spans="1:40" s="66" customFormat="1" ht="16.2" customHeight="1" x14ac:dyDescent="0.3">
      <c r="A14" s="25"/>
      <c r="B14" s="73">
        <v>10</v>
      </c>
      <c r="C14" s="10" t="s">
        <v>176</v>
      </c>
      <c r="D14" s="10"/>
      <c r="E14" s="20" t="s">
        <v>177</v>
      </c>
      <c r="F14" s="20" t="s">
        <v>178</v>
      </c>
      <c r="G14" s="10" t="s">
        <v>1</v>
      </c>
      <c r="H14" s="9" t="s">
        <v>48</v>
      </c>
      <c r="I14" s="9" t="s">
        <v>48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12">
        <f t="shared" si="0"/>
        <v>2</v>
      </c>
      <c r="AM14" s="36">
        <v>550</v>
      </c>
      <c r="AN14" s="36">
        <f t="shared" si="1"/>
        <v>1100</v>
      </c>
    </row>
    <row r="15" spans="1:40" s="66" customFormat="1" ht="16.2" customHeight="1" x14ac:dyDescent="0.3">
      <c r="A15" s="25"/>
      <c r="B15" s="73">
        <v>11</v>
      </c>
      <c r="C15" s="110" t="s">
        <v>404</v>
      </c>
      <c r="D15" s="10"/>
      <c r="E15" s="21" t="s">
        <v>402</v>
      </c>
      <c r="F15" s="21" t="s">
        <v>403</v>
      </c>
      <c r="G15" s="10" t="s">
        <v>1</v>
      </c>
      <c r="H15" s="9" t="s">
        <v>48</v>
      </c>
      <c r="I15" s="9" t="s">
        <v>48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12">
        <f t="shared" si="0"/>
        <v>2</v>
      </c>
      <c r="AM15" s="36">
        <v>550</v>
      </c>
      <c r="AN15" s="36">
        <f t="shared" si="1"/>
        <v>1100</v>
      </c>
    </row>
    <row r="16" spans="1:40" s="66" customFormat="1" ht="16.2" customHeight="1" x14ac:dyDescent="0.3">
      <c r="A16" s="25"/>
      <c r="B16" s="73">
        <v>12</v>
      </c>
      <c r="C16" s="173" t="s">
        <v>170</v>
      </c>
      <c r="D16" s="10"/>
      <c r="E16" s="21" t="s">
        <v>171</v>
      </c>
      <c r="F16" s="21" t="s">
        <v>172</v>
      </c>
      <c r="G16" s="10" t="s">
        <v>1</v>
      </c>
      <c r="H16" s="9" t="s">
        <v>48</v>
      </c>
      <c r="I16" s="9" t="s">
        <v>48</v>
      </c>
      <c r="J16" s="9"/>
      <c r="K16" s="9"/>
      <c r="L16" s="9"/>
      <c r="M16" s="9" t="s">
        <v>48</v>
      </c>
      <c r="N16" s="9" t="s">
        <v>48</v>
      </c>
      <c r="O16" s="9" t="s">
        <v>48</v>
      </c>
      <c r="P16" s="9" t="s">
        <v>48</v>
      </c>
      <c r="Q16" s="9"/>
      <c r="R16" s="9"/>
      <c r="S16" s="9"/>
      <c r="T16" s="9" t="s">
        <v>48</v>
      </c>
      <c r="U16" s="9" t="s">
        <v>48</v>
      </c>
      <c r="V16" s="9" t="s">
        <v>48</v>
      </c>
      <c r="W16" s="9" t="s">
        <v>48</v>
      </c>
      <c r="X16" s="9"/>
      <c r="Y16" s="9"/>
      <c r="Z16" s="9"/>
      <c r="AA16" s="9" t="s">
        <v>48</v>
      </c>
      <c r="AB16" s="9" t="s">
        <v>48</v>
      </c>
      <c r="AC16" s="9" t="s">
        <v>48</v>
      </c>
      <c r="AD16" s="9" t="s">
        <v>48</v>
      </c>
      <c r="AE16" s="9"/>
      <c r="AF16" s="9"/>
      <c r="AG16" s="9"/>
      <c r="AH16" s="9"/>
      <c r="AI16" s="9"/>
      <c r="AJ16" s="9"/>
      <c r="AK16" s="9"/>
      <c r="AL16" s="12">
        <f t="shared" si="0"/>
        <v>14</v>
      </c>
      <c r="AM16" s="36">
        <v>550</v>
      </c>
      <c r="AN16" s="36">
        <f t="shared" si="1"/>
        <v>7700</v>
      </c>
    </row>
    <row r="17" spans="1:40" s="66" customFormat="1" ht="16.2" customHeight="1" x14ac:dyDescent="0.3">
      <c r="A17" s="25"/>
      <c r="B17" s="73">
        <v>13</v>
      </c>
      <c r="C17" s="173" t="s">
        <v>407</v>
      </c>
      <c r="D17" s="10"/>
      <c r="E17" s="21" t="s">
        <v>405</v>
      </c>
      <c r="F17" s="21" t="s">
        <v>406</v>
      </c>
      <c r="G17" s="10" t="s">
        <v>1</v>
      </c>
      <c r="H17" s="9" t="s">
        <v>48</v>
      </c>
      <c r="I17" s="9" t="s">
        <v>48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2">
        <f t="shared" si="0"/>
        <v>2</v>
      </c>
      <c r="AM17" s="36">
        <v>550</v>
      </c>
      <c r="AN17" s="36">
        <f t="shared" si="1"/>
        <v>1100</v>
      </c>
    </row>
    <row r="18" spans="1:40" s="66" customFormat="1" ht="16.2" customHeight="1" x14ac:dyDescent="0.3">
      <c r="A18" s="25"/>
      <c r="B18" s="73">
        <v>14</v>
      </c>
      <c r="C18" s="173" t="s">
        <v>410</v>
      </c>
      <c r="D18" s="10"/>
      <c r="E18" s="21" t="s">
        <v>408</v>
      </c>
      <c r="F18" s="21" t="s">
        <v>409</v>
      </c>
      <c r="G18" s="10" t="s">
        <v>1</v>
      </c>
      <c r="H18" s="9" t="s">
        <v>48</v>
      </c>
      <c r="I18" s="9" t="s">
        <v>48</v>
      </c>
      <c r="J18" s="9"/>
      <c r="K18" s="9"/>
      <c r="L18" s="9"/>
      <c r="M18" s="9" t="s">
        <v>48</v>
      </c>
      <c r="N18" s="9" t="s">
        <v>48</v>
      </c>
      <c r="O18" s="9" t="s">
        <v>48</v>
      </c>
      <c r="P18" s="9" t="s">
        <v>48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2">
        <f t="shared" si="0"/>
        <v>6</v>
      </c>
      <c r="AM18" s="36">
        <v>550</v>
      </c>
      <c r="AN18" s="36">
        <f t="shared" si="1"/>
        <v>3300</v>
      </c>
    </row>
    <row r="19" spans="1:40" s="66" customFormat="1" ht="16.2" customHeight="1" x14ac:dyDescent="0.3">
      <c r="A19" s="25"/>
      <c r="B19" s="73">
        <v>15</v>
      </c>
      <c r="C19" s="173" t="s">
        <v>364</v>
      </c>
      <c r="D19" s="10"/>
      <c r="E19" s="21" t="s">
        <v>362</v>
      </c>
      <c r="F19" s="21" t="s">
        <v>363</v>
      </c>
      <c r="G19" s="10" t="s">
        <v>1</v>
      </c>
      <c r="H19" s="9"/>
      <c r="I19" s="9"/>
      <c r="J19" s="9"/>
      <c r="K19" s="9"/>
      <c r="L19" s="9"/>
      <c r="M19" s="9" t="s">
        <v>48</v>
      </c>
      <c r="N19" s="9" t="s">
        <v>48</v>
      </c>
      <c r="O19" s="9" t="s">
        <v>48</v>
      </c>
      <c r="P19" s="9" t="s">
        <v>48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12">
        <f t="shared" si="0"/>
        <v>4</v>
      </c>
      <c r="AM19" s="36">
        <v>550</v>
      </c>
      <c r="AN19" s="36">
        <f t="shared" si="1"/>
        <v>2200</v>
      </c>
    </row>
    <row r="20" spans="1:40" s="66" customFormat="1" ht="16.2" customHeight="1" x14ac:dyDescent="0.3">
      <c r="A20" s="25"/>
      <c r="B20" s="73">
        <v>16</v>
      </c>
      <c r="C20" s="110">
        <v>34756</v>
      </c>
      <c r="D20" s="10"/>
      <c r="E20" s="21" t="s">
        <v>448</v>
      </c>
      <c r="F20" s="21" t="s">
        <v>209</v>
      </c>
      <c r="G20" s="10" t="s">
        <v>1</v>
      </c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 t="s">
        <v>48</v>
      </c>
      <c r="U20" s="92" t="s">
        <v>48</v>
      </c>
      <c r="V20" s="92" t="s">
        <v>48</v>
      </c>
      <c r="W20" s="92" t="s">
        <v>48</v>
      </c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12">
        <f t="shared" si="0"/>
        <v>4</v>
      </c>
      <c r="AM20" s="36">
        <v>550</v>
      </c>
      <c r="AN20" s="36">
        <f t="shared" si="1"/>
        <v>2200</v>
      </c>
    </row>
    <row r="21" spans="1:40" s="66" customFormat="1" ht="16.2" customHeight="1" x14ac:dyDescent="0.3">
      <c r="A21" s="25"/>
      <c r="B21" s="73">
        <v>17</v>
      </c>
      <c r="C21" s="110" t="s">
        <v>798</v>
      </c>
      <c r="D21" s="10"/>
      <c r="E21" s="21" t="s">
        <v>610</v>
      </c>
      <c r="F21" s="21" t="s">
        <v>611</v>
      </c>
      <c r="G21" s="10" t="s">
        <v>1</v>
      </c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 t="s">
        <v>48</v>
      </c>
      <c r="U21" s="92" t="s">
        <v>48</v>
      </c>
      <c r="V21" s="92" t="s">
        <v>48</v>
      </c>
      <c r="W21" s="92" t="s">
        <v>48</v>
      </c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12">
        <f t="shared" si="0"/>
        <v>4</v>
      </c>
      <c r="AM21" s="36">
        <v>550</v>
      </c>
      <c r="AN21" s="36">
        <f t="shared" si="1"/>
        <v>2200</v>
      </c>
    </row>
    <row r="22" spans="1:40" s="66" customFormat="1" ht="16.2" customHeight="1" x14ac:dyDescent="0.3">
      <c r="A22" s="25"/>
      <c r="B22" s="73">
        <v>18</v>
      </c>
      <c r="C22" s="110" t="s">
        <v>173</v>
      </c>
      <c r="D22" s="10"/>
      <c r="E22" s="21" t="s">
        <v>174</v>
      </c>
      <c r="F22" s="21" t="s">
        <v>175</v>
      </c>
      <c r="G22" s="10" t="s">
        <v>1</v>
      </c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 t="s">
        <v>48</v>
      </c>
      <c r="U22" s="92" t="s">
        <v>48</v>
      </c>
      <c r="V22" s="92" t="s">
        <v>48</v>
      </c>
      <c r="W22" s="92" t="s">
        <v>48</v>
      </c>
      <c r="X22" s="92"/>
      <c r="Y22" s="92"/>
      <c r="Z22" s="92"/>
      <c r="AA22" s="92" t="s">
        <v>48</v>
      </c>
      <c r="AB22" s="92" t="s">
        <v>48</v>
      </c>
      <c r="AC22" s="92" t="s">
        <v>48</v>
      </c>
      <c r="AD22" s="92" t="s">
        <v>48</v>
      </c>
      <c r="AE22" s="92"/>
      <c r="AF22" s="92"/>
      <c r="AG22" s="92"/>
      <c r="AH22" s="92"/>
      <c r="AI22" s="92"/>
      <c r="AJ22" s="92"/>
      <c r="AK22" s="92"/>
      <c r="AL22" s="12">
        <f t="shared" si="0"/>
        <v>8</v>
      </c>
      <c r="AM22" s="36">
        <v>550</v>
      </c>
      <c r="AN22" s="36">
        <f t="shared" si="1"/>
        <v>4400</v>
      </c>
    </row>
    <row r="23" spans="1:40" s="66" customFormat="1" ht="16.2" customHeight="1" x14ac:dyDescent="0.3">
      <c r="A23" s="25"/>
      <c r="B23" s="73">
        <v>19</v>
      </c>
      <c r="C23" s="10" t="s">
        <v>411</v>
      </c>
      <c r="D23" s="10"/>
      <c r="E23" s="20" t="s">
        <v>221</v>
      </c>
      <c r="F23" s="20" t="s">
        <v>222</v>
      </c>
      <c r="G23" s="10" t="s">
        <v>1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 t="s">
        <v>48</v>
      </c>
      <c r="U23" s="92" t="s">
        <v>48</v>
      </c>
      <c r="V23" s="92" t="s">
        <v>48</v>
      </c>
      <c r="W23" s="92" t="s">
        <v>48</v>
      </c>
      <c r="X23" s="92"/>
      <c r="Y23" s="92"/>
      <c r="Z23" s="92"/>
      <c r="AA23" s="92" t="s">
        <v>48</v>
      </c>
      <c r="AB23" s="92" t="s">
        <v>48</v>
      </c>
      <c r="AC23" s="92" t="s">
        <v>48</v>
      </c>
      <c r="AD23" s="92" t="s">
        <v>48</v>
      </c>
      <c r="AE23" s="92"/>
      <c r="AF23" s="92"/>
      <c r="AG23" s="92"/>
      <c r="AH23" s="92"/>
      <c r="AI23" s="92"/>
      <c r="AJ23" s="92"/>
      <c r="AK23" s="92"/>
      <c r="AL23" s="12">
        <f t="shared" si="0"/>
        <v>8</v>
      </c>
      <c r="AM23" s="36">
        <v>550</v>
      </c>
      <c r="AN23" s="36">
        <f t="shared" si="1"/>
        <v>4400</v>
      </c>
    </row>
    <row r="24" spans="1:40" s="66" customFormat="1" ht="16.2" customHeight="1" x14ac:dyDescent="0.3">
      <c r="A24" s="25"/>
      <c r="B24" s="73">
        <v>20</v>
      </c>
      <c r="C24" s="10" t="s">
        <v>553</v>
      </c>
      <c r="D24" s="10"/>
      <c r="E24" s="20" t="s">
        <v>74</v>
      </c>
      <c r="F24" s="20" t="s">
        <v>75</v>
      </c>
      <c r="G24" s="10" t="s">
        <v>1</v>
      </c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 t="s">
        <v>48</v>
      </c>
      <c r="U24" s="92" t="s">
        <v>48</v>
      </c>
      <c r="V24" s="92" t="s">
        <v>48</v>
      </c>
      <c r="W24" s="92" t="s">
        <v>48</v>
      </c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12">
        <f t="shared" si="0"/>
        <v>4</v>
      </c>
      <c r="AM24" s="36">
        <v>550</v>
      </c>
      <c r="AN24" s="36">
        <f t="shared" si="1"/>
        <v>2200</v>
      </c>
    </row>
    <row r="25" spans="1:40" s="66" customFormat="1" ht="16.2" customHeight="1" x14ac:dyDescent="0.3">
      <c r="A25" s="25"/>
      <c r="B25" s="73">
        <v>21</v>
      </c>
      <c r="C25" s="110">
        <v>34279</v>
      </c>
      <c r="D25" s="10"/>
      <c r="E25" s="21" t="s">
        <v>428</v>
      </c>
      <c r="F25" s="21" t="s">
        <v>218</v>
      </c>
      <c r="G25" s="10" t="s">
        <v>1</v>
      </c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 t="s">
        <v>48</v>
      </c>
      <c r="AB25" s="92" t="s">
        <v>48</v>
      </c>
      <c r="AC25" s="92" t="s">
        <v>48</v>
      </c>
      <c r="AD25" s="92" t="s">
        <v>48</v>
      </c>
      <c r="AE25" s="92"/>
      <c r="AF25" s="92"/>
      <c r="AG25" s="92"/>
      <c r="AH25" s="92"/>
      <c r="AI25" s="92"/>
      <c r="AJ25" s="92"/>
      <c r="AK25" s="92"/>
      <c r="AL25" s="12">
        <f t="shared" si="0"/>
        <v>4</v>
      </c>
      <c r="AM25" s="36">
        <v>550</v>
      </c>
      <c r="AN25" s="36">
        <f t="shared" si="1"/>
        <v>2200</v>
      </c>
    </row>
    <row r="26" spans="1:40" s="66" customFormat="1" ht="16.2" customHeight="1" x14ac:dyDescent="0.3">
      <c r="A26" s="25"/>
      <c r="B26" s="73">
        <v>22</v>
      </c>
      <c r="C26" s="110">
        <v>33701</v>
      </c>
      <c r="D26" s="10"/>
      <c r="E26" s="21" t="s">
        <v>422</v>
      </c>
      <c r="F26" s="21" t="s">
        <v>423</v>
      </c>
      <c r="G26" s="10" t="s">
        <v>1</v>
      </c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 t="s">
        <v>48</v>
      </c>
      <c r="AI26" s="92" t="s">
        <v>48</v>
      </c>
      <c r="AJ26" s="92" t="s">
        <v>48</v>
      </c>
      <c r="AK26" s="92" t="s">
        <v>48</v>
      </c>
      <c r="AL26" s="12">
        <f t="shared" si="0"/>
        <v>4</v>
      </c>
      <c r="AM26" s="36">
        <v>550</v>
      </c>
      <c r="AN26" s="36">
        <f t="shared" si="1"/>
        <v>2200</v>
      </c>
    </row>
    <row r="27" spans="1:40" s="66" customFormat="1" ht="16.2" customHeight="1" x14ac:dyDescent="0.3">
      <c r="A27" s="25"/>
      <c r="B27" s="73">
        <v>23</v>
      </c>
      <c r="C27" s="110">
        <v>33724</v>
      </c>
      <c r="D27" s="10"/>
      <c r="E27" s="21" t="s">
        <v>431</v>
      </c>
      <c r="F27" s="21" t="s">
        <v>432</v>
      </c>
      <c r="G27" s="10" t="s">
        <v>1</v>
      </c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 t="s">
        <v>48</v>
      </c>
      <c r="AI27" s="92" t="s">
        <v>48</v>
      </c>
      <c r="AJ27" s="92" t="s">
        <v>48</v>
      </c>
      <c r="AK27" s="92" t="s">
        <v>48</v>
      </c>
      <c r="AL27" s="12">
        <f t="shared" si="0"/>
        <v>4</v>
      </c>
      <c r="AM27" s="36">
        <v>550</v>
      </c>
      <c r="AN27" s="36">
        <f t="shared" si="1"/>
        <v>2200</v>
      </c>
    </row>
    <row r="28" spans="1:40" s="66" customFormat="1" ht="16.2" customHeight="1" x14ac:dyDescent="0.3">
      <c r="A28" s="25"/>
      <c r="B28" s="73">
        <v>24</v>
      </c>
      <c r="C28" s="110">
        <v>33747</v>
      </c>
      <c r="D28" s="10"/>
      <c r="E28" s="21" t="s">
        <v>79</v>
      </c>
      <c r="F28" s="21" t="s">
        <v>80</v>
      </c>
      <c r="G28" s="10" t="s">
        <v>1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 t="s">
        <v>48</v>
      </c>
      <c r="AI28" s="9" t="s">
        <v>48</v>
      </c>
      <c r="AJ28" s="9" t="s">
        <v>48</v>
      </c>
      <c r="AK28" s="9" t="s">
        <v>48</v>
      </c>
      <c r="AL28" s="12">
        <f t="shared" si="0"/>
        <v>4</v>
      </c>
      <c r="AM28" s="36">
        <v>550</v>
      </c>
      <c r="AN28" s="36">
        <f t="shared" si="1"/>
        <v>2200</v>
      </c>
    </row>
    <row r="29" spans="1:40" s="66" customFormat="1" ht="16.2" customHeight="1" x14ac:dyDescent="0.3">
      <c r="A29" s="25"/>
      <c r="B29" s="73">
        <v>25</v>
      </c>
      <c r="C29" s="110" t="s">
        <v>444</v>
      </c>
      <c r="D29" s="10"/>
      <c r="E29" s="21" t="s">
        <v>301</v>
      </c>
      <c r="F29" s="21" t="s">
        <v>196</v>
      </c>
      <c r="G29" s="10" t="s">
        <v>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s">
        <v>48</v>
      </c>
      <c r="U29" s="9" t="s">
        <v>48</v>
      </c>
      <c r="V29" s="9" t="s">
        <v>48</v>
      </c>
      <c r="W29" s="9" t="s">
        <v>48</v>
      </c>
      <c r="X29" s="9"/>
      <c r="Y29" s="9"/>
      <c r="Z29" s="9"/>
      <c r="AA29" s="9" t="s">
        <v>48</v>
      </c>
      <c r="AB29" s="9" t="s">
        <v>48</v>
      </c>
      <c r="AC29" s="9" t="s">
        <v>48</v>
      </c>
      <c r="AD29" s="9" t="s">
        <v>48</v>
      </c>
      <c r="AE29" s="9"/>
      <c r="AF29" s="9"/>
      <c r="AG29" s="9"/>
      <c r="AH29" s="9"/>
      <c r="AI29" s="9"/>
      <c r="AJ29" s="9"/>
      <c r="AK29" s="9"/>
      <c r="AL29" s="12">
        <f t="shared" si="0"/>
        <v>8</v>
      </c>
      <c r="AM29" s="36">
        <v>550</v>
      </c>
      <c r="AN29" s="36">
        <f t="shared" si="1"/>
        <v>4400</v>
      </c>
    </row>
    <row r="30" spans="1:40" s="66" customFormat="1" ht="16.2" customHeight="1" x14ac:dyDescent="0.3">
      <c r="A30" s="25"/>
      <c r="B30" s="73">
        <v>26</v>
      </c>
      <c r="C30" s="10" t="s">
        <v>336</v>
      </c>
      <c r="D30" s="10"/>
      <c r="E30" s="20" t="s">
        <v>335</v>
      </c>
      <c r="F30" s="20" t="s">
        <v>213</v>
      </c>
      <c r="G30" s="10" t="s">
        <v>1</v>
      </c>
      <c r="H30" s="9"/>
      <c r="I30" s="9"/>
      <c r="J30" s="9"/>
      <c r="K30" s="9"/>
      <c r="L30" s="9"/>
      <c r="M30" s="9" t="s">
        <v>48</v>
      </c>
      <c r="N30" s="9" t="s">
        <v>48</v>
      </c>
      <c r="O30" s="9" t="s">
        <v>48</v>
      </c>
      <c r="P30" s="9" t="s">
        <v>48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 t="s">
        <v>48</v>
      </c>
      <c r="AB30" s="9" t="s">
        <v>48</v>
      </c>
      <c r="AC30" s="9" t="s">
        <v>48</v>
      </c>
      <c r="AD30" s="9" t="s">
        <v>48</v>
      </c>
      <c r="AE30" s="9"/>
      <c r="AF30" s="9"/>
      <c r="AG30" s="9"/>
      <c r="AH30" s="9"/>
      <c r="AI30" s="9"/>
      <c r="AJ30" s="9"/>
      <c r="AK30" s="9"/>
      <c r="AL30" s="12">
        <f t="shared" si="0"/>
        <v>8</v>
      </c>
      <c r="AM30" s="36">
        <v>550</v>
      </c>
      <c r="AN30" s="36">
        <f t="shared" si="1"/>
        <v>4400</v>
      </c>
    </row>
    <row r="31" spans="1:40" ht="16.2" customHeight="1" x14ac:dyDescent="0.3">
      <c r="B31" s="128" t="s">
        <v>15</v>
      </c>
      <c r="C31" s="128"/>
      <c r="D31" s="128"/>
      <c r="E31" s="128"/>
      <c r="F31" s="128"/>
      <c r="G31" s="128"/>
      <c r="H31" s="12">
        <f>COUNTIF(H5:H30,"P")+COUNTIF(H5:H30,"PP")+COUNTIF(H5:H30,"PP")</f>
        <v>7</v>
      </c>
      <c r="I31" s="12">
        <f t="shared" ref="I31:AK31" si="2">COUNTIF(I5:I30,"P")+COUNTIF(I5:I30,"PP")+COUNTIF(I5:I30,"PP")</f>
        <v>7</v>
      </c>
      <c r="J31" s="12">
        <f t="shared" si="2"/>
        <v>0</v>
      </c>
      <c r="K31" s="12">
        <f t="shared" si="2"/>
        <v>0</v>
      </c>
      <c r="L31" s="12">
        <f t="shared" si="2"/>
        <v>0</v>
      </c>
      <c r="M31" s="12">
        <f t="shared" si="2"/>
        <v>7</v>
      </c>
      <c r="N31" s="12">
        <f t="shared" si="2"/>
        <v>7</v>
      </c>
      <c r="O31" s="12">
        <f t="shared" si="2"/>
        <v>7</v>
      </c>
      <c r="P31" s="12">
        <f t="shared" si="2"/>
        <v>7</v>
      </c>
      <c r="Q31" s="12">
        <f t="shared" si="2"/>
        <v>0</v>
      </c>
      <c r="R31" s="12">
        <f t="shared" si="2"/>
        <v>0</v>
      </c>
      <c r="S31" s="12">
        <f t="shared" si="2"/>
        <v>0</v>
      </c>
      <c r="T31" s="12">
        <f t="shared" si="2"/>
        <v>7</v>
      </c>
      <c r="U31" s="12">
        <f t="shared" si="2"/>
        <v>7</v>
      </c>
      <c r="V31" s="12">
        <f t="shared" si="2"/>
        <v>7</v>
      </c>
      <c r="W31" s="12">
        <f t="shared" si="2"/>
        <v>7</v>
      </c>
      <c r="X31" s="12">
        <f t="shared" si="2"/>
        <v>0</v>
      </c>
      <c r="Y31" s="12">
        <f t="shared" si="2"/>
        <v>0</v>
      </c>
      <c r="Z31" s="12">
        <f t="shared" si="2"/>
        <v>0</v>
      </c>
      <c r="AA31" s="12">
        <f t="shared" si="2"/>
        <v>7</v>
      </c>
      <c r="AB31" s="12">
        <f t="shared" si="2"/>
        <v>7</v>
      </c>
      <c r="AC31" s="12">
        <f t="shared" si="2"/>
        <v>7</v>
      </c>
      <c r="AD31" s="12">
        <f t="shared" si="2"/>
        <v>7</v>
      </c>
      <c r="AE31" s="12">
        <f t="shared" si="2"/>
        <v>0</v>
      </c>
      <c r="AF31" s="12">
        <f t="shared" si="2"/>
        <v>0</v>
      </c>
      <c r="AG31" s="12">
        <f t="shared" si="2"/>
        <v>0</v>
      </c>
      <c r="AH31" s="12">
        <f t="shared" si="2"/>
        <v>7</v>
      </c>
      <c r="AI31" s="12">
        <f t="shared" si="2"/>
        <v>7</v>
      </c>
      <c r="AJ31" s="12">
        <f t="shared" si="2"/>
        <v>7</v>
      </c>
      <c r="AK31" s="12">
        <f t="shared" si="2"/>
        <v>7</v>
      </c>
      <c r="AL31" s="27">
        <f>SUM(AL5:AL30)</f>
        <v>126</v>
      </c>
      <c r="AN31" s="64">
        <f>SUM(AN5:AN30)</f>
        <v>70000</v>
      </c>
    </row>
  </sheetData>
  <mergeCells count="5">
    <mergeCell ref="B2:AL2"/>
    <mergeCell ref="B3:AL3"/>
    <mergeCell ref="B31:G31"/>
    <mergeCell ref="AM2:AM4"/>
    <mergeCell ref="AN2:AN4"/>
  </mergeCells>
  <conditionalFormatting sqref="C3">
    <cfRule type="duplicateValues" dxfId="111" priority="15"/>
  </conditionalFormatting>
  <conditionalFormatting sqref="C4">
    <cfRule type="duplicateValues" dxfId="110" priority="16"/>
  </conditionalFormatting>
  <conditionalFormatting sqref="C5:F5">
    <cfRule type="duplicateValues" dxfId="109" priority="12"/>
  </conditionalFormatting>
  <conditionalFormatting sqref="C11:F11">
    <cfRule type="duplicateValues" dxfId="108" priority="4"/>
  </conditionalFormatting>
  <conditionalFormatting sqref="C12:F12">
    <cfRule type="duplicateValues" dxfId="107" priority="8"/>
  </conditionalFormatting>
  <conditionalFormatting sqref="C13:F13">
    <cfRule type="duplicateValues" dxfId="106" priority="11"/>
  </conditionalFormatting>
  <conditionalFormatting sqref="C14:F14">
    <cfRule type="duplicateValues" dxfId="105" priority="10"/>
  </conditionalFormatting>
  <conditionalFormatting sqref="C15:F15">
    <cfRule type="duplicateValues" dxfId="104" priority="7"/>
  </conditionalFormatting>
  <conditionalFormatting sqref="C16:F16">
    <cfRule type="duplicateValues" dxfId="103" priority="9"/>
  </conditionalFormatting>
  <conditionalFormatting sqref="C17:F17">
    <cfRule type="duplicateValues" dxfId="102" priority="5"/>
  </conditionalFormatting>
  <conditionalFormatting sqref="C18:F18">
    <cfRule type="duplicateValues" dxfId="101" priority="6"/>
  </conditionalFormatting>
  <conditionalFormatting sqref="C30:F30">
    <cfRule type="duplicateValues" dxfId="100" priority="1"/>
  </conditionalFormatting>
  <conditionalFormatting sqref="H3:AK30">
    <cfRule type="cellIs" dxfId="99" priority="14" operator="equal">
      <formula>"a"</formula>
    </cfRule>
  </conditionalFormatting>
  <conditionalFormatting sqref="C19:F29">
    <cfRule type="duplicateValues" dxfId="98" priority="1858"/>
  </conditionalFormatting>
  <conditionalFormatting sqref="C5 C11:C30">
    <cfRule type="duplicateValues" dxfId="97" priority="1860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19"/>
  <sheetViews>
    <sheetView workbookViewId="0">
      <selection activeCell="C8" sqref="C8"/>
    </sheetView>
  </sheetViews>
  <sheetFormatPr defaultRowHeight="14.4" x14ac:dyDescent="0.3"/>
  <cols>
    <col min="1" max="1" width="3.109375" customWidth="1"/>
    <col min="2" max="2" width="5.33203125" customWidth="1"/>
    <col min="3" max="3" width="7.44140625" style="18" customWidth="1"/>
    <col min="4" max="4" width="7.33203125" customWidth="1"/>
    <col min="5" max="5" width="16.6640625" style="123" customWidth="1"/>
    <col min="6" max="6" width="20" style="123" bestFit="1" customWidth="1"/>
    <col min="7" max="7" width="5.5546875" customWidth="1"/>
    <col min="8" max="37" width="3.77734375" customWidth="1"/>
    <col min="38" max="38" width="4.44140625" customWidth="1"/>
    <col min="39" max="39" width="9.44140625" customWidth="1"/>
    <col min="40" max="40" width="12.21875" customWidth="1"/>
  </cols>
  <sheetData>
    <row r="2" spans="2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29" t="s">
        <v>471</v>
      </c>
      <c r="AN2" s="129" t="s">
        <v>473</v>
      </c>
    </row>
    <row r="3" spans="2:40" ht="18" customHeight="1" x14ac:dyDescent="0.3">
      <c r="B3" s="136" t="s">
        <v>815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29"/>
      <c r="AN3" s="129"/>
    </row>
    <row r="4" spans="2:40" s="54" customFormat="1" ht="18" customHeight="1" x14ac:dyDescent="0.2">
      <c r="B4" s="46" t="s">
        <v>5</v>
      </c>
      <c r="C4" s="46" t="s">
        <v>2</v>
      </c>
      <c r="D4" s="46" t="s">
        <v>16</v>
      </c>
      <c r="E4" s="33" t="s">
        <v>3</v>
      </c>
      <c r="F4" s="33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29"/>
      <c r="AN4" s="129"/>
    </row>
    <row r="5" spans="2:40" s="65" customFormat="1" ht="18" customHeight="1" x14ac:dyDescent="0.3">
      <c r="B5" s="40">
        <v>1</v>
      </c>
      <c r="C5" s="10" t="s">
        <v>325</v>
      </c>
      <c r="D5" s="20"/>
      <c r="E5" s="20" t="s">
        <v>323</v>
      </c>
      <c r="F5" s="20" t="s">
        <v>324</v>
      </c>
      <c r="G5" s="11" t="s">
        <v>0</v>
      </c>
      <c r="H5" s="9" t="s">
        <v>48</v>
      </c>
      <c r="I5" s="9" t="s">
        <v>48</v>
      </c>
      <c r="J5" s="9" t="s">
        <v>48</v>
      </c>
      <c r="K5" s="9" t="s">
        <v>48</v>
      </c>
      <c r="L5" s="9" t="s">
        <v>48</v>
      </c>
      <c r="M5" s="9"/>
      <c r="N5" s="9" t="s">
        <v>48</v>
      </c>
      <c r="O5" s="9" t="s">
        <v>48</v>
      </c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48</v>
      </c>
      <c r="V5" s="9" t="s">
        <v>48</v>
      </c>
      <c r="W5" s="9" t="s">
        <v>48</v>
      </c>
      <c r="X5" s="9" t="s">
        <v>48</v>
      </c>
      <c r="Y5" s="9" t="s">
        <v>48</v>
      </c>
      <c r="Z5" s="9" t="s">
        <v>48</v>
      </c>
      <c r="AA5" s="9"/>
      <c r="AB5" s="9" t="s">
        <v>48</v>
      </c>
      <c r="AC5" s="9" t="s">
        <v>48</v>
      </c>
      <c r="AD5" s="9" t="s">
        <v>48</v>
      </c>
      <c r="AE5" s="9" t="s">
        <v>48</v>
      </c>
      <c r="AF5" s="9" t="s">
        <v>48</v>
      </c>
      <c r="AG5" s="9" t="s">
        <v>48</v>
      </c>
      <c r="AH5" s="9"/>
      <c r="AI5" s="9"/>
      <c r="AJ5" s="9"/>
      <c r="AK5" s="9"/>
      <c r="AL5" s="38">
        <f t="shared" ref="AL5:AL18" si="0">COUNTIF(H5:AK5,"p")+COUNTIF(H5:AK5,"pp")+COUNTIF(H5:AK5,"pp")</f>
        <v>23</v>
      </c>
      <c r="AM5" s="36">
        <v>600</v>
      </c>
      <c r="AN5" s="36">
        <f>AL5*AM5</f>
        <v>13800</v>
      </c>
    </row>
    <row r="6" spans="2:40" s="65" customFormat="1" ht="18" customHeight="1" x14ac:dyDescent="0.3">
      <c r="B6" s="40">
        <v>2</v>
      </c>
      <c r="C6" s="10" t="s">
        <v>59</v>
      </c>
      <c r="D6" s="20"/>
      <c r="E6" s="20" t="s">
        <v>70</v>
      </c>
      <c r="F6" s="20" t="s">
        <v>71</v>
      </c>
      <c r="G6" s="11" t="s"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 t="s">
        <v>48</v>
      </c>
      <c r="V6" s="9" t="s">
        <v>48</v>
      </c>
      <c r="W6" s="9" t="s">
        <v>48</v>
      </c>
      <c r="X6" s="9" t="s">
        <v>48</v>
      </c>
      <c r="Y6" s="9" t="s">
        <v>48</v>
      </c>
      <c r="Z6" s="9" t="s">
        <v>48</v>
      </c>
      <c r="AA6" s="9"/>
      <c r="AB6" s="9" t="s">
        <v>48</v>
      </c>
      <c r="AC6" s="9" t="s">
        <v>48</v>
      </c>
      <c r="AD6" s="9" t="s">
        <v>48</v>
      </c>
      <c r="AE6" s="9" t="s">
        <v>48</v>
      </c>
      <c r="AF6" s="9" t="s">
        <v>48</v>
      </c>
      <c r="AG6" s="9" t="s">
        <v>48</v>
      </c>
      <c r="AH6" s="9"/>
      <c r="AI6" s="9" t="s">
        <v>48</v>
      </c>
      <c r="AJ6" s="9" t="s">
        <v>48</v>
      </c>
      <c r="AK6" s="9" t="s">
        <v>48</v>
      </c>
      <c r="AL6" s="38">
        <f t="shared" si="0"/>
        <v>15</v>
      </c>
      <c r="AM6" s="36">
        <v>600</v>
      </c>
      <c r="AN6" s="36">
        <f t="shared" ref="AN6:AN18" si="1">AL6*AM6</f>
        <v>9000</v>
      </c>
    </row>
    <row r="7" spans="2:40" s="65" customFormat="1" ht="18.75" customHeight="1" x14ac:dyDescent="0.3">
      <c r="B7" s="40">
        <v>3</v>
      </c>
      <c r="C7" s="10" t="s">
        <v>81</v>
      </c>
      <c r="D7" s="20"/>
      <c r="E7" s="20" t="s">
        <v>85</v>
      </c>
      <c r="F7" s="20" t="s">
        <v>86</v>
      </c>
      <c r="G7" s="10" t="s">
        <v>1</v>
      </c>
      <c r="H7" s="9" t="s">
        <v>48</v>
      </c>
      <c r="I7" s="9" t="s">
        <v>48</v>
      </c>
      <c r="J7" s="9" t="s">
        <v>48</v>
      </c>
      <c r="K7" s="9" t="s">
        <v>48</v>
      </c>
      <c r="L7" s="9" t="s">
        <v>48</v>
      </c>
      <c r="M7" s="9"/>
      <c r="N7" s="9" t="s">
        <v>48</v>
      </c>
      <c r="O7" s="9" t="s">
        <v>48</v>
      </c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48</v>
      </c>
      <c r="V7" s="9" t="s">
        <v>48</v>
      </c>
      <c r="W7" s="9" t="s">
        <v>48</v>
      </c>
      <c r="X7" s="9" t="s">
        <v>48</v>
      </c>
      <c r="Y7" s="9" t="s">
        <v>48</v>
      </c>
      <c r="Z7" s="9" t="s">
        <v>48</v>
      </c>
      <c r="AA7" s="9"/>
      <c r="AB7" s="9" t="s">
        <v>48</v>
      </c>
      <c r="AC7" s="9" t="s">
        <v>48</v>
      </c>
      <c r="AD7" s="9" t="s">
        <v>48</v>
      </c>
      <c r="AE7" s="9" t="s">
        <v>48</v>
      </c>
      <c r="AF7" s="9" t="s">
        <v>48</v>
      </c>
      <c r="AG7" s="9" t="s">
        <v>48</v>
      </c>
      <c r="AH7" s="9"/>
      <c r="AI7" s="9"/>
      <c r="AJ7" s="9"/>
      <c r="AK7" s="9"/>
      <c r="AL7" s="38">
        <f t="shared" si="0"/>
        <v>23</v>
      </c>
      <c r="AM7" s="36">
        <v>550</v>
      </c>
      <c r="AN7" s="36">
        <f t="shared" si="1"/>
        <v>12650</v>
      </c>
    </row>
    <row r="8" spans="2:40" s="65" customFormat="1" ht="18" customHeight="1" x14ac:dyDescent="0.3">
      <c r="B8" s="40">
        <v>4</v>
      </c>
      <c r="C8" s="173">
        <v>33662</v>
      </c>
      <c r="D8" s="20"/>
      <c r="E8" s="21" t="s">
        <v>87</v>
      </c>
      <c r="F8" s="21" t="s">
        <v>88</v>
      </c>
      <c r="G8" s="10" t="s">
        <v>1</v>
      </c>
      <c r="H8" s="9" t="s">
        <v>48</v>
      </c>
      <c r="I8" s="9" t="s">
        <v>48</v>
      </c>
      <c r="J8" s="9" t="s">
        <v>48</v>
      </c>
      <c r="K8" s="9" t="s">
        <v>48</v>
      </c>
      <c r="L8" s="9" t="s">
        <v>48</v>
      </c>
      <c r="M8" s="9"/>
      <c r="N8" s="9" t="s">
        <v>48</v>
      </c>
      <c r="O8" s="9" t="s">
        <v>48</v>
      </c>
      <c r="P8" s="9" t="s">
        <v>48</v>
      </c>
      <c r="Q8" s="9" t="s">
        <v>48</v>
      </c>
      <c r="R8" s="9" t="s">
        <v>48</v>
      </c>
      <c r="S8" s="9" t="s">
        <v>48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38">
        <f t="shared" si="0"/>
        <v>11</v>
      </c>
      <c r="AM8" s="36">
        <v>550</v>
      </c>
      <c r="AN8" s="36">
        <f t="shared" si="1"/>
        <v>6050</v>
      </c>
    </row>
    <row r="9" spans="2:40" s="65" customFormat="1" ht="18" customHeight="1" x14ac:dyDescent="0.3">
      <c r="B9" s="40">
        <v>5</v>
      </c>
      <c r="C9" s="110" t="s">
        <v>82</v>
      </c>
      <c r="D9" s="20"/>
      <c r="E9" s="21" t="s">
        <v>89</v>
      </c>
      <c r="F9" s="21" t="s">
        <v>90</v>
      </c>
      <c r="G9" s="10" t="s"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 t="s">
        <v>48</v>
      </c>
      <c r="V9" s="9" t="s">
        <v>48</v>
      </c>
      <c r="W9" s="9" t="s">
        <v>48</v>
      </c>
      <c r="X9" s="9" t="s">
        <v>48</v>
      </c>
      <c r="Y9" s="9" t="s">
        <v>48</v>
      </c>
      <c r="Z9" s="9" t="s">
        <v>48</v>
      </c>
      <c r="AA9" s="9"/>
      <c r="AB9" s="9" t="s">
        <v>48</v>
      </c>
      <c r="AC9" s="9" t="s">
        <v>48</v>
      </c>
      <c r="AD9" s="9" t="s">
        <v>48</v>
      </c>
      <c r="AE9" s="9" t="s">
        <v>48</v>
      </c>
      <c r="AF9" s="9" t="s">
        <v>48</v>
      </c>
      <c r="AG9" s="9" t="s">
        <v>48</v>
      </c>
      <c r="AH9" s="9"/>
      <c r="AI9" s="9"/>
      <c r="AJ9" s="9"/>
      <c r="AK9" s="9"/>
      <c r="AL9" s="38">
        <f t="shared" si="0"/>
        <v>12</v>
      </c>
      <c r="AM9" s="36">
        <v>550</v>
      </c>
      <c r="AN9" s="36">
        <f t="shared" si="1"/>
        <v>6600</v>
      </c>
    </row>
    <row r="10" spans="2:40" s="65" customFormat="1" ht="18" customHeight="1" x14ac:dyDescent="0.3">
      <c r="B10" s="101">
        <v>6</v>
      </c>
      <c r="C10" s="110" t="s">
        <v>83</v>
      </c>
      <c r="D10" s="20"/>
      <c r="E10" s="21" t="s">
        <v>91</v>
      </c>
      <c r="F10" s="21" t="s">
        <v>92</v>
      </c>
      <c r="G10" s="10" t="s">
        <v>1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 t="s">
        <v>48</v>
      </c>
      <c r="V10" s="9" t="s">
        <v>48</v>
      </c>
      <c r="W10" s="9" t="s">
        <v>48</v>
      </c>
      <c r="X10" s="9" t="s">
        <v>48</v>
      </c>
      <c r="Y10" s="9" t="s">
        <v>48</v>
      </c>
      <c r="Z10" s="9" t="s">
        <v>48</v>
      </c>
      <c r="AA10" s="9"/>
      <c r="AB10" s="9" t="s">
        <v>48</v>
      </c>
      <c r="AC10" s="9" t="s">
        <v>48</v>
      </c>
      <c r="AD10" s="9" t="s">
        <v>48</v>
      </c>
      <c r="AE10" s="9" t="s">
        <v>48</v>
      </c>
      <c r="AF10" s="9" t="s">
        <v>48</v>
      </c>
      <c r="AG10" s="9" t="s">
        <v>48</v>
      </c>
      <c r="AH10" s="9"/>
      <c r="AI10" s="9"/>
      <c r="AJ10" s="9"/>
      <c r="AK10" s="9"/>
      <c r="AL10" s="38">
        <f t="shared" si="0"/>
        <v>12</v>
      </c>
      <c r="AM10" s="36">
        <v>550</v>
      </c>
      <c r="AN10" s="36">
        <f t="shared" si="1"/>
        <v>6600</v>
      </c>
    </row>
    <row r="11" spans="2:40" s="65" customFormat="1" ht="18" customHeight="1" x14ac:dyDescent="0.3">
      <c r="B11" s="101">
        <v>7</v>
      </c>
      <c r="C11" s="110" t="s">
        <v>84</v>
      </c>
      <c r="D11" s="20"/>
      <c r="E11" s="21" t="s">
        <v>93</v>
      </c>
      <c r="F11" s="21" t="s">
        <v>94</v>
      </c>
      <c r="G11" s="10" t="s">
        <v>1</v>
      </c>
      <c r="H11" s="9"/>
      <c r="I11" s="9"/>
      <c r="J11" s="9"/>
      <c r="K11" s="9"/>
      <c r="L11" s="9"/>
      <c r="M11" s="9"/>
      <c r="N11" s="9" t="s">
        <v>48</v>
      </c>
      <c r="O11" s="9" t="s">
        <v>48</v>
      </c>
      <c r="P11" s="9" t="s">
        <v>48</v>
      </c>
      <c r="Q11" s="9" t="s">
        <v>48</v>
      </c>
      <c r="R11" s="9" t="s">
        <v>48</v>
      </c>
      <c r="S11" s="9" t="s">
        <v>48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38">
        <f t="shared" si="0"/>
        <v>6</v>
      </c>
      <c r="AM11" s="36">
        <v>550</v>
      </c>
      <c r="AN11" s="36">
        <f t="shared" si="1"/>
        <v>3300</v>
      </c>
    </row>
    <row r="12" spans="2:40" s="65" customFormat="1" ht="18" customHeight="1" x14ac:dyDescent="0.3">
      <c r="B12" s="101">
        <v>8</v>
      </c>
      <c r="C12" s="10">
        <v>34044</v>
      </c>
      <c r="D12" s="20"/>
      <c r="E12" s="20" t="s">
        <v>326</v>
      </c>
      <c r="F12" s="20" t="s">
        <v>327</v>
      </c>
      <c r="G12" s="10" t="s">
        <v>1</v>
      </c>
      <c r="H12" s="9"/>
      <c r="I12" s="9"/>
      <c r="J12" s="9"/>
      <c r="K12" s="9"/>
      <c r="L12" s="9"/>
      <c r="M12" s="9"/>
      <c r="N12" s="9" t="s">
        <v>48</v>
      </c>
      <c r="O12" s="9" t="s">
        <v>48</v>
      </c>
      <c r="P12" s="9" t="s">
        <v>48</v>
      </c>
      <c r="Q12" s="9" t="s">
        <v>48</v>
      </c>
      <c r="R12" s="9" t="s">
        <v>48</v>
      </c>
      <c r="S12" s="9" t="s">
        <v>48</v>
      </c>
      <c r="T12" s="9"/>
      <c r="U12" s="9" t="s">
        <v>48</v>
      </c>
      <c r="V12" s="9" t="s">
        <v>48</v>
      </c>
      <c r="W12" s="9" t="s">
        <v>48</v>
      </c>
      <c r="X12" s="9" t="s">
        <v>48</v>
      </c>
      <c r="Y12" s="9" t="s">
        <v>48</v>
      </c>
      <c r="Z12" s="9" t="s">
        <v>48</v>
      </c>
      <c r="AA12" s="9"/>
      <c r="AB12" s="9" t="s">
        <v>48</v>
      </c>
      <c r="AC12" s="9" t="s">
        <v>48</v>
      </c>
      <c r="AD12" s="9" t="s">
        <v>48</v>
      </c>
      <c r="AE12" s="9" t="s">
        <v>48</v>
      </c>
      <c r="AF12" s="9" t="s">
        <v>48</v>
      </c>
      <c r="AG12" s="9" t="s">
        <v>48</v>
      </c>
      <c r="AH12" s="9"/>
      <c r="AI12" s="9"/>
      <c r="AJ12" s="9"/>
      <c r="AK12" s="9"/>
      <c r="AL12" s="38">
        <f t="shared" si="0"/>
        <v>18</v>
      </c>
      <c r="AM12" s="36">
        <v>550</v>
      </c>
      <c r="AN12" s="36">
        <f t="shared" si="1"/>
        <v>9900</v>
      </c>
    </row>
    <row r="13" spans="2:40" s="65" customFormat="1" ht="18" customHeight="1" x14ac:dyDescent="0.3">
      <c r="B13" s="101">
        <v>9</v>
      </c>
      <c r="C13" s="110">
        <v>34578</v>
      </c>
      <c r="D13" s="20"/>
      <c r="E13" s="21" t="s">
        <v>612</v>
      </c>
      <c r="F13" s="21" t="s">
        <v>613</v>
      </c>
      <c r="G13" s="10" t="s">
        <v>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 t="s">
        <v>48</v>
      </c>
      <c r="AJ13" s="9" t="s">
        <v>48</v>
      </c>
      <c r="AK13" s="9" t="s">
        <v>48</v>
      </c>
      <c r="AL13" s="38">
        <f t="shared" si="0"/>
        <v>3</v>
      </c>
      <c r="AM13" s="36">
        <v>550</v>
      </c>
      <c r="AN13" s="36">
        <f t="shared" si="1"/>
        <v>1650</v>
      </c>
    </row>
    <row r="14" spans="2:40" s="65" customFormat="1" ht="18" customHeight="1" x14ac:dyDescent="0.3">
      <c r="B14" s="101">
        <v>10</v>
      </c>
      <c r="C14" s="110">
        <v>33910</v>
      </c>
      <c r="D14" s="20"/>
      <c r="E14" s="21" t="s">
        <v>659</v>
      </c>
      <c r="F14" s="21" t="s">
        <v>50</v>
      </c>
      <c r="G14" s="10" t="s">
        <v>1</v>
      </c>
      <c r="H14" s="100" t="s">
        <v>48</v>
      </c>
      <c r="I14" s="100" t="s">
        <v>48</v>
      </c>
      <c r="J14" s="100" t="s">
        <v>48</v>
      </c>
      <c r="K14" s="100" t="s">
        <v>48</v>
      </c>
      <c r="L14" s="100" t="s">
        <v>48</v>
      </c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38">
        <f t="shared" si="0"/>
        <v>5</v>
      </c>
      <c r="AM14" s="36">
        <v>550</v>
      </c>
      <c r="AN14" s="36">
        <f t="shared" si="1"/>
        <v>2750</v>
      </c>
    </row>
    <row r="15" spans="2:40" s="65" customFormat="1" ht="18" customHeight="1" x14ac:dyDescent="0.3">
      <c r="B15" s="101">
        <v>11</v>
      </c>
      <c r="C15" s="106" t="s">
        <v>744</v>
      </c>
      <c r="D15" s="20"/>
      <c r="E15" s="21" t="s">
        <v>742</v>
      </c>
      <c r="F15" s="21" t="s">
        <v>743</v>
      </c>
      <c r="G15" s="10" t="s">
        <v>1</v>
      </c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 t="s">
        <v>48</v>
      </c>
      <c r="AJ15" s="100" t="s">
        <v>48</v>
      </c>
      <c r="AK15" s="100" t="s">
        <v>48</v>
      </c>
      <c r="AL15" s="38">
        <f t="shared" si="0"/>
        <v>3</v>
      </c>
      <c r="AM15" s="36">
        <v>550</v>
      </c>
      <c r="AN15" s="36">
        <f t="shared" si="1"/>
        <v>1650</v>
      </c>
    </row>
    <row r="16" spans="2:40" s="65" customFormat="1" ht="18" customHeight="1" x14ac:dyDescent="0.3">
      <c r="B16" s="101">
        <v>12</v>
      </c>
      <c r="C16" s="110" t="s">
        <v>747</v>
      </c>
      <c r="D16" s="20"/>
      <c r="E16" s="21" t="s">
        <v>745</v>
      </c>
      <c r="F16" s="21" t="s">
        <v>746</v>
      </c>
      <c r="G16" s="10" t="s">
        <v>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 t="s">
        <v>48</v>
      </c>
      <c r="AJ16" s="9" t="s">
        <v>48</v>
      </c>
      <c r="AK16" s="9" t="s">
        <v>48</v>
      </c>
      <c r="AL16" s="38">
        <f t="shared" si="0"/>
        <v>3</v>
      </c>
      <c r="AM16" s="36">
        <v>550</v>
      </c>
      <c r="AN16" s="36">
        <f t="shared" si="1"/>
        <v>1650</v>
      </c>
    </row>
    <row r="17" spans="2:40" s="65" customFormat="1" ht="18" customHeight="1" x14ac:dyDescent="0.3">
      <c r="B17" s="101">
        <v>13</v>
      </c>
      <c r="C17" s="110" t="s">
        <v>550</v>
      </c>
      <c r="D17" s="20"/>
      <c r="E17" s="21" t="s">
        <v>368</v>
      </c>
      <c r="F17" s="21" t="s">
        <v>369</v>
      </c>
      <c r="G17" s="10" t="s">
        <v>1</v>
      </c>
      <c r="H17" s="9"/>
      <c r="I17" s="9"/>
      <c r="J17" s="9"/>
      <c r="K17" s="9"/>
      <c r="L17" s="9"/>
      <c r="M17" s="9"/>
      <c r="N17" s="9" t="s">
        <v>48</v>
      </c>
      <c r="O17" s="9" t="s">
        <v>48</v>
      </c>
      <c r="P17" s="9" t="s">
        <v>48</v>
      </c>
      <c r="Q17" s="9" t="s">
        <v>48</v>
      </c>
      <c r="R17" s="9" t="s">
        <v>48</v>
      </c>
      <c r="S17" s="9" t="s">
        <v>48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38">
        <f t="shared" si="0"/>
        <v>6</v>
      </c>
      <c r="AM17" s="36">
        <v>550</v>
      </c>
      <c r="AN17" s="36">
        <f t="shared" si="1"/>
        <v>3300</v>
      </c>
    </row>
    <row r="18" spans="2:40" s="65" customFormat="1" ht="18" customHeight="1" x14ac:dyDescent="0.3">
      <c r="B18" s="101">
        <v>14</v>
      </c>
      <c r="C18" s="10">
        <v>34372</v>
      </c>
      <c r="D18" s="20"/>
      <c r="E18" s="20" t="s">
        <v>573</v>
      </c>
      <c r="F18" s="20" t="s">
        <v>574</v>
      </c>
      <c r="G18" s="10" t="s">
        <v>1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 t="s">
        <v>48</v>
      </c>
      <c r="AJ18" s="9" t="s">
        <v>48</v>
      </c>
      <c r="AK18" s="9" t="s">
        <v>48</v>
      </c>
      <c r="AL18" s="38">
        <f t="shared" si="0"/>
        <v>3</v>
      </c>
      <c r="AM18" s="36">
        <v>550</v>
      </c>
      <c r="AN18" s="36">
        <f t="shared" si="1"/>
        <v>1650</v>
      </c>
    </row>
    <row r="19" spans="2:40" ht="18" customHeight="1" x14ac:dyDescent="0.3">
      <c r="B19" s="128" t="s">
        <v>15</v>
      </c>
      <c r="C19" s="128"/>
      <c r="D19" s="128"/>
      <c r="E19" s="128"/>
      <c r="F19" s="128"/>
      <c r="G19" s="128"/>
      <c r="H19" s="12">
        <f>COUNTIF(H5:H18,"P")+COUNTIF(H5:H18,"PP")+COUNTIF(H5:H18,"PP")</f>
        <v>4</v>
      </c>
      <c r="I19" s="12">
        <f t="shared" ref="I19:AK19" si="2">COUNTIF(I5:I18,"P")+COUNTIF(I5:I18,"PP")+COUNTIF(I5:I18,"PP")</f>
        <v>4</v>
      </c>
      <c r="J19" s="12">
        <f t="shared" si="2"/>
        <v>4</v>
      </c>
      <c r="K19" s="12">
        <f t="shared" si="2"/>
        <v>4</v>
      </c>
      <c r="L19" s="12">
        <f t="shared" si="2"/>
        <v>4</v>
      </c>
      <c r="M19" s="12">
        <f t="shared" si="2"/>
        <v>0</v>
      </c>
      <c r="N19" s="12">
        <f t="shared" si="2"/>
        <v>6</v>
      </c>
      <c r="O19" s="12">
        <f t="shared" si="2"/>
        <v>6</v>
      </c>
      <c r="P19" s="12">
        <f t="shared" si="2"/>
        <v>6</v>
      </c>
      <c r="Q19" s="12">
        <f t="shared" si="2"/>
        <v>6</v>
      </c>
      <c r="R19" s="12">
        <f t="shared" si="2"/>
        <v>6</v>
      </c>
      <c r="S19" s="12">
        <f t="shared" si="2"/>
        <v>6</v>
      </c>
      <c r="T19" s="12">
        <f t="shared" si="2"/>
        <v>0</v>
      </c>
      <c r="U19" s="12">
        <f t="shared" si="2"/>
        <v>6</v>
      </c>
      <c r="V19" s="12">
        <f t="shared" si="2"/>
        <v>6</v>
      </c>
      <c r="W19" s="12">
        <f t="shared" si="2"/>
        <v>6</v>
      </c>
      <c r="X19" s="12">
        <f t="shared" si="2"/>
        <v>6</v>
      </c>
      <c r="Y19" s="12">
        <f t="shared" si="2"/>
        <v>6</v>
      </c>
      <c r="Z19" s="12">
        <f t="shared" si="2"/>
        <v>6</v>
      </c>
      <c r="AA19" s="12">
        <f t="shared" si="2"/>
        <v>0</v>
      </c>
      <c r="AB19" s="12">
        <f t="shared" si="2"/>
        <v>6</v>
      </c>
      <c r="AC19" s="12">
        <f t="shared" si="2"/>
        <v>6</v>
      </c>
      <c r="AD19" s="12">
        <f t="shared" si="2"/>
        <v>6</v>
      </c>
      <c r="AE19" s="12">
        <f t="shared" si="2"/>
        <v>6</v>
      </c>
      <c r="AF19" s="12">
        <f t="shared" si="2"/>
        <v>6</v>
      </c>
      <c r="AG19" s="12">
        <f t="shared" si="2"/>
        <v>6</v>
      </c>
      <c r="AH19" s="12">
        <f t="shared" si="2"/>
        <v>0</v>
      </c>
      <c r="AI19" s="12">
        <f t="shared" si="2"/>
        <v>5</v>
      </c>
      <c r="AJ19" s="12">
        <f t="shared" si="2"/>
        <v>5</v>
      </c>
      <c r="AK19" s="12">
        <f t="shared" si="2"/>
        <v>5</v>
      </c>
      <c r="AL19" s="39">
        <f>SUM(AL5:AL18)</f>
        <v>143</v>
      </c>
      <c r="AN19" s="37">
        <f>SUM(AN5:AN18)</f>
        <v>80550</v>
      </c>
    </row>
  </sheetData>
  <mergeCells count="5">
    <mergeCell ref="B2:AL2"/>
    <mergeCell ref="B3:AL3"/>
    <mergeCell ref="B19:G19"/>
    <mergeCell ref="AM2:AM4"/>
    <mergeCell ref="AN2:AN4"/>
  </mergeCells>
  <conditionalFormatting sqref="C3">
    <cfRule type="duplicateValues" dxfId="96" priority="15"/>
  </conditionalFormatting>
  <conditionalFormatting sqref="C4">
    <cfRule type="duplicateValues" dxfId="95" priority="16"/>
  </conditionalFormatting>
  <conditionalFormatting sqref="C5:F5">
    <cfRule type="duplicateValues" dxfId="94" priority="13"/>
  </conditionalFormatting>
  <conditionalFormatting sqref="C6:F6">
    <cfRule type="duplicateValues" dxfId="93" priority="12"/>
  </conditionalFormatting>
  <conditionalFormatting sqref="C8:F8">
    <cfRule type="duplicateValues" dxfId="92" priority="4"/>
  </conditionalFormatting>
  <conditionalFormatting sqref="C9:F9">
    <cfRule type="duplicateValues" dxfId="91" priority="8"/>
  </conditionalFormatting>
  <conditionalFormatting sqref="C10:F10">
    <cfRule type="duplicateValues" dxfId="90" priority="11"/>
  </conditionalFormatting>
  <conditionalFormatting sqref="C11:F11">
    <cfRule type="duplicateValues" dxfId="89" priority="10"/>
  </conditionalFormatting>
  <conditionalFormatting sqref="C12:F12">
    <cfRule type="duplicateValues" dxfId="88" priority="7"/>
  </conditionalFormatting>
  <conditionalFormatting sqref="C13:F15">
    <cfRule type="duplicateValues" dxfId="87" priority="9"/>
  </conditionalFormatting>
  <conditionalFormatting sqref="C16:F16">
    <cfRule type="duplicateValues" dxfId="86" priority="5"/>
  </conditionalFormatting>
  <conditionalFormatting sqref="C17:F17">
    <cfRule type="duplicateValues" dxfId="85" priority="6"/>
  </conditionalFormatting>
  <conditionalFormatting sqref="C18:F18">
    <cfRule type="duplicateValues" dxfId="84" priority="3"/>
  </conditionalFormatting>
  <conditionalFormatting sqref="H3:AK18">
    <cfRule type="cellIs" dxfId="83" priority="14" operator="equal">
      <formula>"a"</formula>
    </cfRule>
  </conditionalFormatting>
  <conditionalFormatting sqref="C6 C8:C18">
    <cfRule type="duplicateValues" dxfId="82" priority="160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25"/>
  <sheetViews>
    <sheetView workbookViewId="0">
      <pane xSplit="6" ySplit="4" topLeftCell="G11" activePane="bottomRight" state="frozen"/>
      <selection pane="topRight" activeCell="G1" sqref="G1"/>
      <selection pane="bottomLeft" activeCell="A5" sqref="A5"/>
      <selection pane="bottomRight" activeCell="C14" sqref="C14"/>
    </sheetView>
  </sheetViews>
  <sheetFormatPr defaultRowHeight="14.4" x14ac:dyDescent="0.3"/>
  <cols>
    <col min="1" max="1" width="3.44140625" customWidth="1"/>
    <col min="2" max="2" width="5.33203125" customWidth="1"/>
    <col min="3" max="3" width="7.5546875" style="1" customWidth="1"/>
    <col min="4" max="4" width="6.6640625" style="1" customWidth="1"/>
    <col min="5" max="6" width="17.88671875" style="23" customWidth="1"/>
    <col min="7" max="7" width="5.5546875" style="23" customWidth="1"/>
    <col min="8" max="37" width="3.6640625" style="18" customWidth="1"/>
    <col min="38" max="38" width="4.6640625" customWidth="1"/>
    <col min="40" max="40" width="12.109375" customWidth="1"/>
  </cols>
  <sheetData>
    <row r="2" spans="2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29" t="s">
        <v>471</v>
      </c>
      <c r="AN2" s="129" t="s">
        <v>473</v>
      </c>
    </row>
    <row r="3" spans="2:40" ht="18" customHeight="1" x14ac:dyDescent="0.3">
      <c r="B3" s="136" t="s">
        <v>794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29"/>
      <c r="AN3" s="129"/>
    </row>
    <row r="4" spans="2:40" s="68" customFormat="1" ht="18" customHeight="1" x14ac:dyDescent="0.2">
      <c r="B4" s="46" t="s">
        <v>5</v>
      </c>
      <c r="C4" s="46" t="s">
        <v>2</v>
      </c>
      <c r="D4" s="46" t="s">
        <v>16</v>
      </c>
      <c r="E4" s="47" t="s">
        <v>3</v>
      </c>
      <c r="F4" s="47" t="s">
        <v>4</v>
      </c>
      <c r="G4" s="47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29"/>
      <c r="AN4" s="129"/>
    </row>
    <row r="5" spans="2:40" s="66" customFormat="1" ht="18" customHeight="1" x14ac:dyDescent="0.3">
      <c r="B5" s="105">
        <v>1</v>
      </c>
      <c r="C5" s="110" t="s">
        <v>349</v>
      </c>
      <c r="D5" s="10"/>
      <c r="E5" s="42" t="s">
        <v>291</v>
      </c>
      <c r="F5" s="42" t="s">
        <v>292</v>
      </c>
      <c r="G5" s="11" t="s">
        <v>0</v>
      </c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 t="s">
        <v>48</v>
      </c>
      <c r="AC5" s="95" t="s">
        <v>48</v>
      </c>
      <c r="AD5" s="95" t="s">
        <v>48</v>
      </c>
      <c r="AE5" s="95" t="s">
        <v>48</v>
      </c>
      <c r="AF5" s="95"/>
      <c r="AG5" s="95"/>
      <c r="AH5" s="95"/>
      <c r="AI5" s="95" t="s">
        <v>48</v>
      </c>
      <c r="AJ5" s="95" t="s">
        <v>48</v>
      </c>
      <c r="AK5" s="95" t="s">
        <v>48</v>
      </c>
      <c r="AL5" s="38">
        <f t="shared" ref="AL5:AL24" si="0">COUNTIF(H5:AK5,"p")+COUNTIF(H5:AK5,"pp")+COUNTIF(H5:AK5,"pp")</f>
        <v>7</v>
      </c>
      <c r="AM5" s="36">
        <v>600</v>
      </c>
      <c r="AN5" s="36">
        <f>AM5*AL5</f>
        <v>4200</v>
      </c>
    </row>
    <row r="6" spans="2:40" s="66" customFormat="1" ht="18" customHeight="1" x14ac:dyDescent="0.3">
      <c r="B6" s="105">
        <v>2</v>
      </c>
      <c r="C6" s="10" t="s">
        <v>167</v>
      </c>
      <c r="D6" s="10"/>
      <c r="E6" s="20" t="s">
        <v>168</v>
      </c>
      <c r="F6" s="20" t="s">
        <v>169</v>
      </c>
      <c r="G6" s="11" t="s">
        <v>0</v>
      </c>
      <c r="H6" s="9" t="s">
        <v>48</v>
      </c>
      <c r="I6" s="9" t="s">
        <v>48</v>
      </c>
      <c r="J6" s="9" t="s">
        <v>48</v>
      </c>
      <c r="K6" s="9"/>
      <c r="L6" s="9"/>
      <c r="M6" s="9"/>
      <c r="N6" s="9"/>
      <c r="O6" s="9"/>
      <c r="P6" s="9"/>
      <c r="Q6" s="9"/>
      <c r="R6" s="9"/>
      <c r="S6" s="9"/>
      <c r="T6" s="9"/>
      <c r="U6" s="9" t="s">
        <v>48</v>
      </c>
      <c r="V6" s="9" t="s">
        <v>48</v>
      </c>
      <c r="W6" s="9" t="s">
        <v>48</v>
      </c>
      <c r="X6" s="9" t="s">
        <v>48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38">
        <f t="shared" si="0"/>
        <v>7</v>
      </c>
      <c r="AM6" s="36">
        <v>600</v>
      </c>
      <c r="AN6" s="36">
        <f t="shared" ref="AN6:AN24" si="1">AL6*AM6</f>
        <v>4200</v>
      </c>
    </row>
    <row r="7" spans="2:40" s="66" customFormat="1" ht="18" customHeight="1" x14ac:dyDescent="0.3">
      <c r="B7" s="105">
        <v>3</v>
      </c>
      <c r="C7" s="10" t="s">
        <v>173</v>
      </c>
      <c r="D7" s="10">
        <v>39</v>
      </c>
      <c r="E7" s="20" t="s">
        <v>174</v>
      </c>
      <c r="F7" s="20" t="s">
        <v>175</v>
      </c>
      <c r="G7" s="10" t="s">
        <v>1</v>
      </c>
      <c r="H7" s="9" t="s">
        <v>48</v>
      </c>
      <c r="I7" s="9" t="s">
        <v>48</v>
      </c>
      <c r="J7" s="9" t="s">
        <v>48</v>
      </c>
      <c r="K7" s="9"/>
      <c r="L7" s="9"/>
      <c r="M7" s="9"/>
      <c r="N7" s="9" t="s">
        <v>48</v>
      </c>
      <c r="O7" s="9" t="s">
        <v>48</v>
      </c>
      <c r="P7" s="9" t="s">
        <v>48</v>
      </c>
      <c r="Q7" s="9" t="s">
        <v>48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38">
        <f t="shared" si="0"/>
        <v>7</v>
      </c>
      <c r="AM7" s="36">
        <v>550</v>
      </c>
      <c r="AN7" s="36">
        <f t="shared" si="1"/>
        <v>3850</v>
      </c>
    </row>
    <row r="8" spans="2:40" s="66" customFormat="1" ht="18" customHeight="1" x14ac:dyDescent="0.3">
      <c r="B8" s="105">
        <v>4</v>
      </c>
      <c r="C8" s="110">
        <v>33241</v>
      </c>
      <c r="D8" s="10"/>
      <c r="E8" s="21" t="s">
        <v>776</v>
      </c>
      <c r="F8" s="21" t="s">
        <v>752</v>
      </c>
      <c r="G8" s="10" t="s">
        <v>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 t="s">
        <v>48</v>
      </c>
      <c r="AJ8" s="9" t="s">
        <v>48</v>
      </c>
      <c r="AK8" s="9" t="s">
        <v>48</v>
      </c>
      <c r="AL8" s="38">
        <f t="shared" si="0"/>
        <v>3</v>
      </c>
      <c r="AM8" s="36">
        <v>550</v>
      </c>
      <c r="AN8" s="36">
        <f t="shared" si="1"/>
        <v>1650</v>
      </c>
    </row>
    <row r="9" spans="2:40" s="66" customFormat="1" ht="18" customHeight="1" x14ac:dyDescent="0.3">
      <c r="B9" s="105">
        <v>5</v>
      </c>
      <c r="C9" s="110">
        <v>34489</v>
      </c>
      <c r="D9" s="110"/>
      <c r="E9" s="21" t="s">
        <v>421</v>
      </c>
      <c r="F9" s="21" t="s">
        <v>402</v>
      </c>
      <c r="G9" s="10" t="s">
        <v>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 t="s">
        <v>48</v>
      </c>
      <c r="AJ9" s="9" t="s">
        <v>48</v>
      </c>
      <c r="AK9" s="9" t="s">
        <v>48</v>
      </c>
      <c r="AL9" s="38">
        <f t="shared" si="0"/>
        <v>3</v>
      </c>
      <c r="AM9" s="36">
        <v>550</v>
      </c>
      <c r="AN9" s="36">
        <f t="shared" si="1"/>
        <v>1650</v>
      </c>
    </row>
    <row r="10" spans="2:40" s="66" customFormat="1" ht="18" customHeight="1" x14ac:dyDescent="0.3">
      <c r="B10" s="105">
        <v>6</v>
      </c>
      <c r="C10" s="110">
        <v>34168</v>
      </c>
      <c r="D10" s="110"/>
      <c r="E10" s="21" t="s">
        <v>780</v>
      </c>
      <c r="F10" s="21" t="s">
        <v>781</v>
      </c>
      <c r="G10" s="10" t="s">
        <v>1</v>
      </c>
      <c r="H10" s="100" t="s">
        <v>48</v>
      </c>
      <c r="I10" s="100" t="s">
        <v>48</v>
      </c>
      <c r="J10" s="100" t="s">
        <v>48</v>
      </c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38">
        <f t="shared" si="0"/>
        <v>3</v>
      </c>
      <c r="AM10" s="36">
        <v>550</v>
      </c>
      <c r="AN10" s="36">
        <f t="shared" si="1"/>
        <v>1650</v>
      </c>
    </row>
    <row r="11" spans="2:40" s="66" customFormat="1" ht="18" customHeight="1" x14ac:dyDescent="0.3">
      <c r="B11" s="105">
        <v>7</v>
      </c>
      <c r="C11" s="110">
        <v>34588</v>
      </c>
      <c r="D11" s="10"/>
      <c r="E11" s="21" t="s">
        <v>428</v>
      </c>
      <c r="F11" s="21" t="s">
        <v>555</v>
      </c>
      <c r="G11" s="10" t="s">
        <v>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 t="s">
        <v>48</v>
      </c>
      <c r="AJ11" s="9" t="s">
        <v>48</v>
      </c>
      <c r="AK11" s="9" t="s">
        <v>48</v>
      </c>
      <c r="AL11" s="38">
        <f t="shared" si="0"/>
        <v>3</v>
      </c>
      <c r="AM11" s="36">
        <v>550</v>
      </c>
      <c r="AN11" s="36">
        <f t="shared" si="1"/>
        <v>1650</v>
      </c>
    </row>
    <row r="12" spans="2:40" s="66" customFormat="1" ht="18" customHeight="1" x14ac:dyDescent="0.3">
      <c r="B12" s="105">
        <v>8</v>
      </c>
      <c r="C12" s="110">
        <v>34584</v>
      </c>
      <c r="D12" s="10"/>
      <c r="E12" s="21" t="s">
        <v>655</v>
      </c>
      <c r="F12" s="21" t="s">
        <v>656</v>
      </c>
      <c r="G12" s="10" t="s">
        <v>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 t="s">
        <v>48</v>
      </c>
      <c r="AJ12" s="9" t="s">
        <v>48</v>
      </c>
      <c r="AK12" s="9" t="s">
        <v>48</v>
      </c>
      <c r="AL12" s="38">
        <f t="shared" si="0"/>
        <v>3</v>
      </c>
      <c r="AM12" s="36">
        <v>550</v>
      </c>
      <c r="AN12" s="36">
        <f t="shared" si="1"/>
        <v>1650</v>
      </c>
    </row>
    <row r="13" spans="2:40" s="66" customFormat="1" ht="18" customHeight="1" x14ac:dyDescent="0.3">
      <c r="B13" s="105">
        <v>9</v>
      </c>
      <c r="C13" s="110" t="s">
        <v>361</v>
      </c>
      <c r="D13" s="10"/>
      <c r="E13" s="42" t="s">
        <v>359</v>
      </c>
      <c r="F13" s="42" t="s">
        <v>360</v>
      </c>
      <c r="G13" s="10" t="s">
        <v>1</v>
      </c>
      <c r="H13" s="9"/>
      <c r="I13" s="9"/>
      <c r="J13" s="9"/>
      <c r="K13" s="9"/>
      <c r="L13" s="9"/>
      <c r="M13" s="9"/>
      <c r="N13" s="9" t="s">
        <v>48</v>
      </c>
      <c r="O13" s="9" t="s">
        <v>48</v>
      </c>
      <c r="P13" s="9" t="s">
        <v>48</v>
      </c>
      <c r="Q13" s="9" t="s">
        <v>48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8">
        <f t="shared" si="0"/>
        <v>4</v>
      </c>
      <c r="AM13" s="36">
        <v>550</v>
      </c>
      <c r="AN13" s="36">
        <f t="shared" si="1"/>
        <v>2200</v>
      </c>
    </row>
    <row r="14" spans="2:40" s="66" customFormat="1" ht="18" customHeight="1" x14ac:dyDescent="0.3">
      <c r="B14" s="105">
        <v>10</v>
      </c>
      <c r="C14" s="168" t="s">
        <v>378</v>
      </c>
      <c r="D14" s="10"/>
      <c r="E14" s="20" t="s">
        <v>377</v>
      </c>
      <c r="F14" s="20" t="s">
        <v>185</v>
      </c>
      <c r="G14" s="10" t="s">
        <v>1</v>
      </c>
      <c r="H14" s="9" t="s">
        <v>48</v>
      </c>
      <c r="I14" s="9" t="s">
        <v>48</v>
      </c>
      <c r="J14" s="9" t="s">
        <v>48</v>
      </c>
      <c r="K14" s="9"/>
      <c r="L14" s="9"/>
      <c r="M14" s="9"/>
      <c r="N14" s="9" t="s">
        <v>48</v>
      </c>
      <c r="O14" s="9" t="s">
        <v>48</v>
      </c>
      <c r="P14" s="9" t="s">
        <v>48</v>
      </c>
      <c r="Q14" s="9" t="s">
        <v>48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38">
        <f t="shared" si="0"/>
        <v>7</v>
      </c>
      <c r="AM14" s="36">
        <v>550</v>
      </c>
      <c r="AN14" s="36">
        <f t="shared" si="1"/>
        <v>3850</v>
      </c>
    </row>
    <row r="15" spans="2:40" s="66" customFormat="1" ht="18" customHeight="1" x14ac:dyDescent="0.3">
      <c r="B15" s="105">
        <v>11</v>
      </c>
      <c r="C15" s="110" t="s">
        <v>411</v>
      </c>
      <c r="D15" s="10"/>
      <c r="E15" s="21" t="s">
        <v>221</v>
      </c>
      <c r="F15" s="21" t="s">
        <v>222</v>
      </c>
      <c r="G15" s="10" t="s">
        <v>1</v>
      </c>
      <c r="H15" s="9" t="s">
        <v>48</v>
      </c>
      <c r="I15" s="9" t="s">
        <v>48</v>
      </c>
      <c r="J15" s="9" t="s">
        <v>48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38">
        <f t="shared" si="0"/>
        <v>3</v>
      </c>
      <c r="AM15" s="36">
        <v>550</v>
      </c>
      <c r="AN15" s="36">
        <f t="shared" si="1"/>
        <v>1650</v>
      </c>
    </row>
    <row r="16" spans="2:40" s="66" customFormat="1" ht="18" customHeight="1" x14ac:dyDescent="0.3">
      <c r="B16" s="105">
        <v>12</v>
      </c>
      <c r="C16" s="173" t="s">
        <v>155</v>
      </c>
      <c r="D16" s="10"/>
      <c r="E16" s="42" t="s">
        <v>161</v>
      </c>
      <c r="F16" s="42" t="s">
        <v>162</v>
      </c>
      <c r="G16" s="10" t="s">
        <v>1</v>
      </c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 t="s">
        <v>48</v>
      </c>
      <c r="AC16" s="95" t="s">
        <v>48</v>
      </c>
      <c r="AD16" s="95" t="s">
        <v>48</v>
      </c>
      <c r="AE16" s="95" t="s">
        <v>48</v>
      </c>
      <c r="AF16" s="95"/>
      <c r="AG16" s="95"/>
      <c r="AH16" s="95"/>
      <c r="AI16" s="95"/>
      <c r="AJ16" s="95"/>
      <c r="AK16" s="95"/>
      <c r="AL16" s="38">
        <f t="shared" si="0"/>
        <v>4</v>
      </c>
      <c r="AM16" s="36">
        <v>550</v>
      </c>
      <c r="AN16" s="36">
        <f t="shared" si="1"/>
        <v>2200</v>
      </c>
    </row>
    <row r="17" spans="2:40" s="66" customFormat="1" ht="18" customHeight="1" x14ac:dyDescent="0.3">
      <c r="B17" s="105">
        <v>13</v>
      </c>
      <c r="C17" s="173">
        <v>33648</v>
      </c>
      <c r="D17" s="10"/>
      <c r="E17" s="21" t="s">
        <v>662</v>
      </c>
      <c r="F17" s="21" t="s">
        <v>663</v>
      </c>
      <c r="G17" s="10" t="s">
        <v>1</v>
      </c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 t="s">
        <v>48</v>
      </c>
      <c r="AC17" s="95" t="s">
        <v>48</v>
      </c>
      <c r="AD17" s="95" t="s">
        <v>48</v>
      </c>
      <c r="AE17" s="95" t="s">
        <v>48</v>
      </c>
      <c r="AF17" s="95"/>
      <c r="AG17" s="95"/>
      <c r="AH17" s="95"/>
      <c r="AI17" s="95"/>
      <c r="AJ17" s="95"/>
      <c r="AK17" s="95"/>
      <c r="AL17" s="38">
        <f t="shared" si="0"/>
        <v>4</v>
      </c>
      <c r="AM17" s="36">
        <v>550</v>
      </c>
      <c r="AN17" s="36">
        <f t="shared" si="1"/>
        <v>2200</v>
      </c>
    </row>
    <row r="18" spans="2:40" s="66" customFormat="1" ht="18" customHeight="1" x14ac:dyDescent="0.3">
      <c r="B18" s="105">
        <v>14</v>
      </c>
      <c r="C18" s="10" t="s">
        <v>639</v>
      </c>
      <c r="D18" s="10"/>
      <c r="E18" s="21" t="s">
        <v>637</v>
      </c>
      <c r="F18" s="21" t="s">
        <v>638</v>
      </c>
      <c r="G18" s="10" t="s">
        <v>1</v>
      </c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 t="s">
        <v>48</v>
      </c>
      <c r="AC18" s="95" t="s">
        <v>48</v>
      </c>
      <c r="AD18" s="95" t="s">
        <v>48</v>
      </c>
      <c r="AE18" s="95" t="s">
        <v>48</v>
      </c>
      <c r="AF18" s="95"/>
      <c r="AG18" s="95"/>
      <c r="AH18" s="95"/>
      <c r="AI18" s="95"/>
      <c r="AJ18" s="95"/>
      <c r="AK18" s="95"/>
      <c r="AL18" s="38">
        <f t="shared" si="0"/>
        <v>4</v>
      </c>
      <c r="AM18" s="36">
        <v>550</v>
      </c>
      <c r="AN18" s="36">
        <f t="shared" si="1"/>
        <v>2200</v>
      </c>
    </row>
    <row r="19" spans="2:40" s="66" customFormat="1" ht="18" customHeight="1" x14ac:dyDescent="0.3">
      <c r="B19" s="105">
        <v>15</v>
      </c>
      <c r="C19" s="110" t="s">
        <v>463</v>
      </c>
      <c r="D19" s="10"/>
      <c r="E19" s="42" t="s">
        <v>365</v>
      </c>
      <c r="F19" s="42" t="s">
        <v>366</v>
      </c>
      <c r="G19" s="10" t="s">
        <v>1</v>
      </c>
      <c r="H19" s="9"/>
      <c r="I19" s="9"/>
      <c r="J19" s="9"/>
      <c r="K19" s="9"/>
      <c r="L19" s="9"/>
      <c r="M19" s="9"/>
      <c r="N19" s="9" t="s">
        <v>48</v>
      </c>
      <c r="O19" s="9" t="s">
        <v>48</v>
      </c>
      <c r="P19" s="9" t="s">
        <v>48</v>
      </c>
      <c r="Q19" s="9" t="s">
        <v>48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38">
        <f t="shared" si="0"/>
        <v>4</v>
      </c>
      <c r="AM19" s="36">
        <v>550</v>
      </c>
      <c r="AN19" s="36">
        <f t="shared" si="1"/>
        <v>2200</v>
      </c>
    </row>
    <row r="20" spans="2:40" s="66" customFormat="1" ht="18" customHeight="1" x14ac:dyDescent="0.3">
      <c r="B20" s="105">
        <v>16</v>
      </c>
      <c r="C20" s="10" t="s">
        <v>553</v>
      </c>
      <c r="D20" s="10"/>
      <c r="E20" s="43" t="s">
        <v>74</v>
      </c>
      <c r="F20" s="43" t="s">
        <v>75</v>
      </c>
      <c r="G20" s="10" t="s">
        <v>1</v>
      </c>
      <c r="H20" s="9"/>
      <c r="I20" s="9"/>
      <c r="J20" s="9"/>
      <c r="K20" s="9"/>
      <c r="L20" s="9"/>
      <c r="M20" s="9"/>
      <c r="N20" s="9" t="s">
        <v>48</v>
      </c>
      <c r="O20" s="9" t="s">
        <v>48</v>
      </c>
      <c r="P20" s="9" t="s">
        <v>48</v>
      </c>
      <c r="Q20" s="9" t="s">
        <v>48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38">
        <f t="shared" si="0"/>
        <v>4</v>
      </c>
      <c r="AM20" s="36">
        <v>550</v>
      </c>
      <c r="AN20" s="36">
        <f t="shared" si="1"/>
        <v>2200</v>
      </c>
    </row>
    <row r="21" spans="2:40" s="66" customFormat="1" ht="18" customHeight="1" x14ac:dyDescent="0.3">
      <c r="B21" s="105">
        <v>17</v>
      </c>
      <c r="C21" s="173" t="s">
        <v>510</v>
      </c>
      <c r="D21" s="10"/>
      <c r="E21" s="42" t="s">
        <v>186</v>
      </c>
      <c r="F21" s="42" t="s">
        <v>187</v>
      </c>
      <c r="G21" s="10" t="s">
        <v>1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48</v>
      </c>
      <c r="V21" s="9" t="s">
        <v>48</v>
      </c>
      <c r="W21" s="9" t="s">
        <v>48</v>
      </c>
      <c r="X21" s="9" t="s">
        <v>48</v>
      </c>
      <c r="Y21" s="9"/>
      <c r="Z21" s="9"/>
      <c r="AA21" s="9"/>
      <c r="AB21" s="9" t="s">
        <v>48</v>
      </c>
      <c r="AC21" s="9" t="s">
        <v>48</v>
      </c>
      <c r="AD21" s="9" t="s">
        <v>48</v>
      </c>
      <c r="AE21" s="9" t="s">
        <v>48</v>
      </c>
      <c r="AF21" s="9"/>
      <c r="AG21" s="9"/>
      <c r="AH21" s="9"/>
      <c r="AI21" s="9"/>
      <c r="AJ21" s="9"/>
      <c r="AK21" s="9"/>
      <c r="AL21" s="38">
        <f t="shared" si="0"/>
        <v>8</v>
      </c>
      <c r="AM21" s="36">
        <v>550</v>
      </c>
      <c r="AN21" s="36">
        <f t="shared" si="1"/>
        <v>4400</v>
      </c>
    </row>
    <row r="22" spans="2:40" s="66" customFormat="1" ht="18" customHeight="1" x14ac:dyDescent="0.3">
      <c r="B22" s="105">
        <v>18</v>
      </c>
      <c r="C22" s="173" t="s">
        <v>439</v>
      </c>
      <c r="D22" s="10"/>
      <c r="E22" s="42" t="s">
        <v>223</v>
      </c>
      <c r="F22" s="42" t="s">
        <v>224</v>
      </c>
      <c r="G22" s="10" t="s">
        <v>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 t="s">
        <v>48</v>
      </c>
      <c r="V22" s="9" t="s">
        <v>48</v>
      </c>
      <c r="W22" s="9" t="s">
        <v>48</v>
      </c>
      <c r="X22" s="9" t="s">
        <v>48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38">
        <f t="shared" si="0"/>
        <v>4</v>
      </c>
      <c r="AM22" s="36">
        <v>550</v>
      </c>
      <c r="AN22" s="36">
        <f t="shared" si="1"/>
        <v>2200</v>
      </c>
    </row>
    <row r="23" spans="2:40" s="66" customFormat="1" ht="18" customHeight="1" x14ac:dyDescent="0.3">
      <c r="B23" s="105">
        <v>19</v>
      </c>
      <c r="C23" s="173" t="s">
        <v>619</v>
      </c>
      <c r="D23" s="10"/>
      <c r="E23" s="42" t="s">
        <v>87</v>
      </c>
      <c r="F23" s="42" t="s">
        <v>88</v>
      </c>
      <c r="G23" s="10" t="s">
        <v>1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 t="s">
        <v>48</v>
      </c>
      <c r="V23" s="9" t="s">
        <v>48</v>
      </c>
      <c r="W23" s="9" t="s">
        <v>48</v>
      </c>
      <c r="X23" s="9" t="s">
        <v>48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38">
        <f t="shared" si="0"/>
        <v>4</v>
      </c>
      <c r="AM23" s="36">
        <v>550</v>
      </c>
      <c r="AN23" s="36">
        <f t="shared" si="1"/>
        <v>2200</v>
      </c>
    </row>
    <row r="24" spans="2:40" s="66" customFormat="1" ht="18" customHeight="1" x14ac:dyDescent="0.3">
      <c r="B24" s="105">
        <v>20</v>
      </c>
      <c r="C24" s="10" t="s">
        <v>621</v>
      </c>
      <c r="D24" s="10"/>
      <c r="E24" s="43" t="s">
        <v>299</v>
      </c>
      <c r="F24" s="43" t="s">
        <v>620</v>
      </c>
      <c r="G24" s="10" t="s">
        <v>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 t="s">
        <v>48</v>
      </c>
      <c r="V24" s="9" t="s">
        <v>48</v>
      </c>
      <c r="W24" s="9" t="s">
        <v>48</v>
      </c>
      <c r="X24" s="9" t="s">
        <v>48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38">
        <f t="shared" si="0"/>
        <v>4</v>
      </c>
      <c r="AM24" s="36">
        <v>550</v>
      </c>
      <c r="AN24" s="36">
        <f t="shared" si="1"/>
        <v>2200</v>
      </c>
    </row>
    <row r="25" spans="2:40" ht="18" customHeight="1" x14ac:dyDescent="0.3">
      <c r="B25" s="128" t="s">
        <v>15</v>
      </c>
      <c r="C25" s="128"/>
      <c r="D25" s="128"/>
      <c r="E25" s="128"/>
      <c r="F25" s="128"/>
      <c r="G25" s="128"/>
      <c r="H25" s="12">
        <f>COUNTIF(H5:H24,"P")+COUNTIF(H5:H24,"PP")+COUNTIF(H5:H24,"PP")</f>
        <v>5</v>
      </c>
      <c r="I25" s="12">
        <f t="shared" ref="I25:AK25" si="2">COUNTIF(I5:I24,"P")+COUNTIF(I5:I24,"PP")+COUNTIF(I5:I24,"PP")</f>
        <v>5</v>
      </c>
      <c r="J25" s="12">
        <f t="shared" si="2"/>
        <v>5</v>
      </c>
      <c r="K25" s="12">
        <f t="shared" si="2"/>
        <v>0</v>
      </c>
      <c r="L25" s="12">
        <f t="shared" si="2"/>
        <v>0</v>
      </c>
      <c r="M25" s="12">
        <f t="shared" si="2"/>
        <v>0</v>
      </c>
      <c r="N25" s="12">
        <f t="shared" si="2"/>
        <v>5</v>
      </c>
      <c r="O25" s="12">
        <f t="shared" si="2"/>
        <v>5</v>
      </c>
      <c r="P25" s="12">
        <f t="shared" si="2"/>
        <v>5</v>
      </c>
      <c r="Q25" s="12">
        <f t="shared" si="2"/>
        <v>5</v>
      </c>
      <c r="R25" s="12">
        <f t="shared" si="2"/>
        <v>0</v>
      </c>
      <c r="S25" s="12">
        <f t="shared" si="2"/>
        <v>0</v>
      </c>
      <c r="T25" s="12">
        <f t="shared" si="2"/>
        <v>0</v>
      </c>
      <c r="U25" s="12">
        <f t="shared" si="2"/>
        <v>5</v>
      </c>
      <c r="V25" s="12">
        <f t="shared" si="2"/>
        <v>5</v>
      </c>
      <c r="W25" s="12">
        <f t="shared" si="2"/>
        <v>5</v>
      </c>
      <c r="X25" s="12">
        <f t="shared" si="2"/>
        <v>5</v>
      </c>
      <c r="Y25" s="12">
        <f t="shared" si="2"/>
        <v>0</v>
      </c>
      <c r="Z25" s="12">
        <f t="shared" si="2"/>
        <v>0</v>
      </c>
      <c r="AA25" s="12">
        <f t="shared" si="2"/>
        <v>0</v>
      </c>
      <c r="AB25" s="12">
        <f t="shared" si="2"/>
        <v>5</v>
      </c>
      <c r="AC25" s="12">
        <f t="shared" si="2"/>
        <v>5</v>
      </c>
      <c r="AD25" s="12">
        <f t="shared" si="2"/>
        <v>5</v>
      </c>
      <c r="AE25" s="12">
        <f t="shared" si="2"/>
        <v>5</v>
      </c>
      <c r="AF25" s="12">
        <f t="shared" si="2"/>
        <v>0</v>
      </c>
      <c r="AG25" s="12">
        <f t="shared" si="2"/>
        <v>0</v>
      </c>
      <c r="AH25" s="12">
        <f t="shared" si="2"/>
        <v>0</v>
      </c>
      <c r="AI25" s="12">
        <f t="shared" si="2"/>
        <v>5</v>
      </c>
      <c r="AJ25" s="12">
        <f t="shared" si="2"/>
        <v>5</v>
      </c>
      <c r="AK25" s="12">
        <f t="shared" si="2"/>
        <v>5</v>
      </c>
      <c r="AL25" s="39">
        <f>SUM(AL5:AL24)</f>
        <v>90</v>
      </c>
      <c r="AN25" s="37">
        <f>SUM(AN5:AN24)</f>
        <v>50200</v>
      </c>
    </row>
  </sheetData>
  <mergeCells count="5">
    <mergeCell ref="B2:AL2"/>
    <mergeCell ref="B3:AL3"/>
    <mergeCell ref="B25:G25"/>
    <mergeCell ref="AM2:AM4"/>
    <mergeCell ref="AN2:AN4"/>
  </mergeCells>
  <conditionalFormatting sqref="C3">
    <cfRule type="duplicateValues" dxfId="81" priority="15"/>
  </conditionalFormatting>
  <conditionalFormatting sqref="C4">
    <cfRule type="duplicateValues" dxfId="80" priority="16"/>
  </conditionalFormatting>
  <conditionalFormatting sqref="C6:F6">
    <cfRule type="duplicateValues" dxfId="79" priority="12"/>
  </conditionalFormatting>
  <conditionalFormatting sqref="C7:F7">
    <cfRule type="duplicateValues" dxfId="78" priority="4"/>
  </conditionalFormatting>
  <conditionalFormatting sqref="C8:F8">
    <cfRule type="duplicateValues" dxfId="77" priority="8"/>
  </conditionalFormatting>
  <conditionalFormatting sqref="C9:F10">
    <cfRule type="duplicateValues" dxfId="76" priority="11"/>
  </conditionalFormatting>
  <conditionalFormatting sqref="C11:F11">
    <cfRule type="duplicateValues" dxfId="75" priority="10"/>
  </conditionalFormatting>
  <conditionalFormatting sqref="C12:F12">
    <cfRule type="duplicateValues" dxfId="74" priority="7"/>
  </conditionalFormatting>
  <conditionalFormatting sqref="C13:F13">
    <cfRule type="duplicateValues" dxfId="73" priority="9"/>
  </conditionalFormatting>
  <conditionalFormatting sqref="C14:F14">
    <cfRule type="duplicateValues" dxfId="72" priority="5"/>
  </conditionalFormatting>
  <conditionalFormatting sqref="C15:F18">
    <cfRule type="duplicateValues" dxfId="71" priority="6"/>
  </conditionalFormatting>
  <conditionalFormatting sqref="C19:F19">
    <cfRule type="duplicateValues" dxfId="70" priority="3"/>
  </conditionalFormatting>
  <conditionalFormatting sqref="C24:F24">
    <cfRule type="duplicateValues" dxfId="69" priority="1"/>
  </conditionalFormatting>
  <conditionalFormatting sqref="H3:AK24">
    <cfRule type="cellIs" dxfId="68" priority="14" operator="equal">
      <formula>"a"</formula>
    </cfRule>
  </conditionalFormatting>
  <conditionalFormatting sqref="C6:C24">
    <cfRule type="duplicateValues" dxfId="67" priority="1588"/>
  </conditionalFormatting>
  <conditionalFormatting sqref="C20:F23">
    <cfRule type="duplicateValues" dxfId="66" priority="1591"/>
  </conditionalFormatting>
  <conditionalFormatting sqref="C5:F5">
    <cfRule type="duplicateValues" dxfId="65" priority="1889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22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V15" sqref="V15"/>
    </sheetView>
  </sheetViews>
  <sheetFormatPr defaultRowHeight="14.4" x14ac:dyDescent="0.3"/>
  <cols>
    <col min="1" max="1" width="2.6640625" customWidth="1"/>
    <col min="2" max="2" width="4.33203125" customWidth="1"/>
    <col min="3" max="3" width="7.6640625" style="1" customWidth="1"/>
    <col min="4" max="4" width="6.44140625" style="18" customWidth="1"/>
    <col min="5" max="6" width="17.6640625" customWidth="1"/>
    <col min="7" max="7" width="6.21875" customWidth="1"/>
    <col min="8" max="37" width="3.6640625" customWidth="1"/>
    <col min="38" max="38" width="5.88671875" customWidth="1"/>
    <col min="40" max="40" width="11.33203125" customWidth="1"/>
  </cols>
  <sheetData>
    <row r="2" spans="2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29" t="s">
        <v>471</v>
      </c>
      <c r="AN2" s="129" t="s">
        <v>473</v>
      </c>
    </row>
    <row r="3" spans="2:40" ht="18" customHeight="1" x14ac:dyDescent="0.3">
      <c r="B3" s="136" t="s">
        <v>795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29"/>
      <c r="AN3" s="129"/>
    </row>
    <row r="4" spans="2:40" ht="18" customHeight="1" x14ac:dyDescent="0.3">
      <c r="B4" s="46" t="s">
        <v>466</v>
      </c>
      <c r="C4" s="46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29"/>
      <c r="AN4" s="129"/>
    </row>
    <row r="5" spans="2:40" s="23" customFormat="1" ht="16.2" customHeight="1" x14ac:dyDescent="0.3">
      <c r="B5" s="40">
        <v>1</v>
      </c>
      <c r="C5" s="173" t="s">
        <v>214</v>
      </c>
      <c r="D5" s="10">
        <v>22</v>
      </c>
      <c r="E5" s="21" t="s">
        <v>215</v>
      </c>
      <c r="F5" s="21" t="s">
        <v>216</v>
      </c>
      <c r="G5" s="11" t="s">
        <v>0</v>
      </c>
      <c r="H5" s="9" t="s">
        <v>48</v>
      </c>
      <c r="I5" s="9" t="s">
        <v>48</v>
      </c>
      <c r="J5" s="9" t="s">
        <v>48</v>
      </c>
      <c r="K5" s="9" t="s">
        <v>48</v>
      </c>
      <c r="L5" s="9" t="s">
        <v>48</v>
      </c>
      <c r="M5" s="9"/>
      <c r="N5" s="9"/>
      <c r="O5" s="9" t="s">
        <v>48</v>
      </c>
      <c r="P5" s="9" t="s">
        <v>48</v>
      </c>
      <c r="Q5" s="9" t="s">
        <v>48</v>
      </c>
      <c r="R5" s="9" t="s">
        <v>48</v>
      </c>
      <c r="S5" s="9" t="s">
        <v>48</v>
      </c>
      <c r="T5" s="9"/>
      <c r="U5" s="9"/>
      <c r="V5" s="9" t="s">
        <v>48</v>
      </c>
      <c r="W5" s="9" t="s">
        <v>48</v>
      </c>
      <c r="X5" s="9" t="s">
        <v>48</v>
      </c>
      <c r="Y5" s="9" t="s">
        <v>48</v>
      </c>
      <c r="Z5" s="9" t="s">
        <v>48</v>
      </c>
      <c r="AA5" s="9"/>
      <c r="AB5" s="9"/>
      <c r="AC5" s="9" t="s">
        <v>48</v>
      </c>
      <c r="AD5" s="9" t="s">
        <v>48</v>
      </c>
      <c r="AE5" s="9" t="s">
        <v>48</v>
      </c>
      <c r="AF5" s="9" t="s">
        <v>48</v>
      </c>
      <c r="AG5" s="9" t="s">
        <v>48</v>
      </c>
      <c r="AH5" s="9" t="s">
        <v>48</v>
      </c>
      <c r="AI5" s="9"/>
      <c r="AJ5" s="9" t="s">
        <v>48</v>
      </c>
      <c r="AK5" s="9" t="s">
        <v>48</v>
      </c>
      <c r="AL5" s="12">
        <f t="shared" ref="AL5:AL21" si="0">COUNTIF(H5:AK5,"p")+COUNTIF(H5:AK5,"pp")+COUNTIF(H5:AK5,"pp")</f>
        <v>23</v>
      </c>
      <c r="AM5" s="36">
        <v>600</v>
      </c>
      <c r="AN5" s="36">
        <f t="shared" ref="AN5:AN21" si="1">AL5*AM5</f>
        <v>13800</v>
      </c>
    </row>
    <row r="6" spans="2:40" s="23" customFormat="1" ht="16.2" customHeight="1" x14ac:dyDescent="0.3">
      <c r="B6" s="40">
        <v>2</v>
      </c>
      <c r="C6" s="173" t="s">
        <v>217</v>
      </c>
      <c r="D6" s="10">
        <v>13</v>
      </c>
      <c r="E6" s="21" t="s">
        <v>73</v>
      </c>
      <c r="F6" s="21" t="s">
        <v>218</v>
      </c>
      <c r="G6" s="10" t="s">
        <v>1</v>
      </c>
      <c r="H6" s="9" t="s">
        <v>48</v>
      </c>
      <c r="I6" s="9" t="s">
        <v>48</v>
      </c>
      <c r="J6" s="9" t="s">
        <v>48</v>
      </c>
      <c r="K6" s="9" t="s">
        <v>48</v>
      </c>
      <c r="L6" s="9" t="s">
        <v>48</v>
      </c>
      <c r="M6" s="9"/>
      <c r="N6" s="9"/>
      <c r="O6" s="9"/>
      <c r="P6" s="9"/>
      <c r="Q6" s="9"/>
      <c r="R6" s="9"/>
      <c r="S6" s="9"/>
      <c r="T6" s="9"/>
      <c r="U6" s="9"/>
      <c r="V6" s="9" t="s">
        <v>48</v>
      </c>
      <c r="W6" s="9" t="s">
        <v>48</v>
      </c>
      <c r="X6" s="9" t="s">
        <v>48</v>
      </c>
      <c r="Y6" s="9" t="s">
        <v>48</v>
      </c>
      <c r="Z6" s="9" t="s">
        <v>48</v>
      </c>
      <c r="AA6" s="9"/>
      <c r="AB6" s="9"/>
      <c r="AC6" s="9" t="s">
        <v>48</v>
      </c>
      <c r="AD6" s="9" t="s">
        <v>48</v>
      </c>
      <c r="AE6" s="9" t="s">
        <v>48</v>
      </c>
      <c r="AF6" s="9" t="s">
        <v>48</v>
      </c>
      <c r="AG6" s="9" t="s">
        <v>48</v>
      </c>
      <c r="AH6" s="9" t="s">
        <v>48</v>
      </c>
      <c r="AI6" s="9"/>
      <c r="AJ6" s="9" t="s">
        <v>48</v>
      </c>
      <c r="AK6" s="9" t="s">
        <v>48</v>
      </c>
      <c r="AL6" s="12">
        <f t="shared" si="0"/>
        <v>18</v>
      </c>
      <c r="AM6" s="36">
        <v>550</v>
      </c>
      <c r="AN6" s="36">
        <f t="shared" si="1"/>
        <v>9900</v>
      </c>
    </row>
    <row r="7" spans="2:40" s="23" customFormat="1" ht="16.2" customHeight="1" x14ac:dyDescent="0.3">
      <c r="B7" s="40">
        <v>3</v>
      </c>
      <c r="C7" s="173" t="s">
        <v>219</v>
      </c>
      <c r="D7" s="10">
        <v>104</v>
      </c>
      <c r="E7" s="21" t="s">
        <v>220</v>
      </c>
      <c r="F7" s="21" t="s">
        <v>218</v>
      </c>
      <c r="G7" s="10" t="s">
        <v>1</v>
      </c>
      <c r="H7" s="9"/>
      <c r="I7" s="9"/>
      <c r="J7" s="9"/>
      <c r="K7" s="9"/>
      <c r="L7" s="9"/>
      <c r="M7" s="9"/>
      <c r="N7" s="9"/>
      <c r="O7" s="9" t="s">
        <v>48</v>
      </c>
      <c r="P7" s="9" t="s">
        <v>48</v>
      </c>
      <c r="Q7" s="9" t="s">
        <v>48</v>
      </c>
      <c r="R7" s="9" t="s">
        <v>48</v>
      </c>
      <c r="S7" s="9" t="s">
        <v>48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12">
        <f t="shared" si="0"/>
        <v>5</v>
      </c>
      <c r="AM7" s="36">
        <v>550</v>
      </c>
      <c r="AN7" s="36">
        <f t="shared" si="1"/>
        <v>2750</v>
      </c>
    </row>
    <row r="8" spans="2:40" s="23" customFormat="1" ht="16.2" customHeight="1" x14ac:dyDescent="0.3">
      <c r="B8" s="40">
        <v>4</v>
      </c>
      <c r="C8" s="173" t="s">
        <v>124</v>
      </c>
      <c r="D8" s="10">
        <v>18</v>
      </c>
      <c r="E8" s="21" t="s">
        <v>134</v>
      </c>
      <c r="F8" s="21" t="s">
        <v>135</v>
      </c>
      <c r="G8" s="10" t="s">
        <v>1</v>
      </c>
      <c r="H8" s="9" t="s">
        <v>48</v>
      </c>
      <c r="I8" s="9" t="s">
        <v>48</v>
      </c>
      <c r="J8" s="9" t="s">
        <v>48</v>
      </c>
      <c r="K8" s="9" t="s">
        <v>48</v>
      </c>
      <c r="L8" s="9" t="s">
        <v>48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12">
        <f t="shared" si="0"/>
        <v>5</v>
      </c>
      <c r="AM8" s="36">
        <v>550</v>
      </c>
      <c r="AN8" s="36">
        <f t="shared" si="1"/>
        <v>2750</v>
      </c>
    </row>
    <row r="9" spans="2:40" s="23" customFormat="1" ht="16.2" customHeight="1" x14ac:dyDescent="0.3">
      <c r="B9" s="101">
        <v>5</v>
      </c>
      <c r="C9" s="110" t="s">
        <v>420</v>
      </c>
      <c r="D9" s="10"/>
      <c r="E9" s="21" t="s">
        <v>283</v>
      </c>
      <c r="F9" s="21" t="s">
        <v>93</v>
      </c>
      <c r="G9" s="10" t="s">
        <v>1</v>
      </c>
      <c r="H9" s="9"/>
      <c r="I9" s="9"/>
      <c r="J9" s="9"/>
      <c r="K9" s="9"/>
      <c r="L9" s="9"/>
      <c r="M9" s="9"/>
      <c r="N9" s="9"/>
      <c r="O9" s="9" t="s">
        <v>48</v>
      </c>
      <c r="P9" s="9" t="s">
        <v>48</v>
      </c>
      <c r="Q9" s="9" t="s">
        <v>48</v>
      </c>
      <c r="R9" s="9" t="s">
        <v>48</v>
      </c>
      <c r="S9" s="9" t="s">
        <v>48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2">
        <f t="shared" si="0"/>
        <v>5</v>
      </c>
      <c r="AM9" s="36">
        <v>550</v>
      </c>
      <c r="AN9" s="36">
        <f t="shared" si="1"/>
        <v>2750</v>
      </c>
    </row>
    <row r="10" spans="2:40" s="23" customFormat="1" ht="16.2" customHeight="1" x14ac:dyDescent="0.3">
      <c r="B10" s="101">
        <v>6</v>
      </c>
      <c r="C10" s="110">
        <v>34261</v>
      </c>
      <c r="D10" s="10"/>
      <c r="E10" s="21" t="s">
        <v>497</v>
      </c>
      <c r="F10" s="21" t="s">
        <v>369</v>
      </c>
      <c r="G10" s="10" t="s">
        <v>1</v>
      </c>
      <c r="H10" s="91" t="s">
        <v>48</v>
      </c>
      <c r="I10" s="91" t="s">
        <v>48</v>
      </c>
      <c r="J10" s="91" t="s">
        <v>48</v>
      </c>
      <c r="K10" s="91" t="s">
        <v>48</v>
      </c>
      <c r="L10" s="91" t="s">
        <v>48</v>
      </c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12">
        <f t="shared" si="0"/>
        <v>5</v>
      </c>
      <c r="AM10" s="36">
        <v>550</v>
      </c>
      <c r="AN10" s="36">
        <f t="shared" si="1"/>
        <v>2750</v>
      </c>
    </row>
    <row r="11" spans="2:40" s="23" customFormat="1" ht="16.2" customHeight="1" x14ac:dyDescent="0.3">
      <c r="B11" s="101">
        <v>7</v>
      </c>
      <c r="C11" s="110">
        <v>34279</v>
      </c>
      <c r="D11" s="10"/>
      <c r="E11" s="21" t="s">
        <v>428</v>
      </c>
      <c r="F11" s="21" t="s">
        <v>218</v>
      </c>
      <c r="G11" s="10" t="s">
        <v>1</v>
      </c>
      <c r="H11" s="91" t="s">
        <v>48</v>
      </c>
      <c r="I11" s="91" t="s">
        <v>48</v>
      </c>
      <c r="J11" s="91" t="s">
        <v>48</v>
      </c>
      <c r="K11" s="91" t="s">
        <v>48</v>
      </c>
      <c r="L11" s="91" t="s">
        <v>48</v>
      </c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12">
        <f t="shared" si="0"/>
        <v>5</v>
      </c>
      <c r="AM11" s="36">
        <v>550</v>
      </c>
      <c r="AN11" s="36">
        <f t="shared" si="1"/>
        <v>2750</v>
      </c>
    </row>
    <row r="12" spans="2:40" s="23" customFormat="1" ht="16.2" customHeight="1" x14ac:dyDescent="0.3">
      <c r="B12" s="101">
        <v>8</v>
      </c>
      <c r="C12" s="173" t="s">
        <v>380</v>
      </c>
      <c r="D12" s="10"/>
      <c r="E12" s="21" t="s">
        <v>379</v>
      </c>
      <c r="F12" s="21" t="s">
        <v>110</v>
      </c>
      <c r="G12" s="10" t="s">
        <v>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 t="s">
        <v>48</v>
      </c>
      <c r="AK12" s="9" t="s">
        <v>48</v>
      </c>
      <c r="AL12" s="12">
        <f t="shared" si="0"/>
        <v>2</v>
      </c>
      <c r="AM12" s="36">
        <v>550</v>
      </c>
      <c r="AN12" s="36">
        <f t="shared" si="1"/>
        <v>1100</v>
      </c>
    </row>
    <row r="13" spans="2:40" s="23" customFormat="1" ht="16.2" customHeight="1" x14ac:dyDescent="0.3">
      <c r="B13" s="101">
        <v>9</v>
      </c>
      <c r="C13" s="168" t="s">
        <v>563</v>
      </c>
      <c r="D13" s="10"/>
      <c r="E13" s="20" t="s">
        <v>102</v>
      </c>
      <c r="F13" s="20" t="s">
        <v>103</v>
      </c>
      <c r="G13" s="10" t="s">
        <v>1</v>
      </c>
      <c r="H13" s="91"/>
      <c r="I13" s="91"/>
      <c r="J13" s="91"/>
      <c r="K13" s="91"/>
      <c r="L13" s="91"/>
      <c r="M13" s="91"/>
      <c r="N13" s="91"/>
      <c r="O13" s="91" t="s">
        <v>48</v>
      </c>
      <c r="P13" s="91" t="s">
        <v>48</v>
      </c>
      <c r="Q13" s="91" t="s">
        <v>48</v>
      </c>
      <c r="R13" s="91" t="s">
        <v>48</v>
      </c>
      <c r="S13" s="91" t="s">
        <v>48</v>
      </c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12">
        <f t="shared" si="0"/>
        <v>5</v>
      </c>
      <c r="AM13" s="36">
        <v>550</v>
      </c>
      <c r="AN13" s="36">
        <f t="shared" si="1"/>
        <v>2750</v>
      </c>
    </row>
    <row r="14" spans="2:40" s="23" customFormat="1" ht="16.2" customHeight="1" x14ac:dyDescent="0.3">
      <c r="B14" s="101">
        <v>10</v>
      </c>
      <c r="C14" s="173" t="s">
        <v>383</v>
      </c>
      <c r="D14" s="10"/>
      <c r="E14" s="21" t="s">
        <v>381</v>
      </c>
      <c r="F14" s="21" t="s">
        <v>382</v>
      </c>
      <c r="G14" s="10" t="s">
        <v>1</v>
      </c>
      <c r="H14" s="91"/>
      <c r="I14" s="91"/>
      <c r="J14" s="91"/>
      <c r="K14" s="91"/>
      <c r="L14" s="91"/>
      <c r="M14" s="91"/>
      <c r="N14" s="91"/>
      <c r="O14" s="91" t="s">
        <v>48</v>
      </c>
      <c r="P14" s="91" t="s">
        <v>48</v>
      </c>
      <c r="Q14" s="91" t="s">
        <v>48</v>
      </c>
      <c r="R14" s="91" t="s">
        <v>48</v>
      </c>
      <c r="S14" s="91" t="s">
        <v>48</v>
      </c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12">
        <f t="shared" si="0"/>
        <v>5</v>
      </c>
      <c r="AM14" s="36">
        <v>550</v>
      </c>
      <c r="AN14" s="36">
        <f t="shared" si="1"/>
        <v>2750</v>
      </c>
    </row>
    <row r="15" spans="2:40" s="23" customFormat="1" ht="16.2" customHeight="1" x14ac:dyDescent="0.3">
      <c r="B15" s="101">
        <v>11</v>
      </c>
      <c r="C15" s="110" t="s">
        <v>630</v>
      </c>
      <c r="D15" s="10"/>
      <c r="E15" s="21" t="s">
        <v>628</v>
      </c>
      <c r="F15" s="21" t="s">
        <v>629</v>
      </c>
      <c r="G15" s="10" t="s">
        <v>1</v>
      </c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 t="s">
        <v>48</v>
      </c>
      <c r="W15" s="92" t="s">
        <v>48</v>
      </c>
      <c r="X15" s="92" t="s">
        <v>48</v>
      </c>
      <c r="Y15" s="92" t="s">
        <v>48</v>
      </c>
      <c r="Z15" s="92" t="s">
        <v>48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12">
        <f t="shared" si="0"/>
        <v>5</v>
      </c>
      <c r="AM15" s="36">
        <v>550</v>
      </c>
      <c r="AN15" s="36">
        <f t="shared" si="1"/>
        <v>2750</v>
      </c>
    </row>
    <row r="16" spans="2:40" s="23" customFormat="1" ht="16.2" customHeight="1" x14ac:dyDescent="0.3">
      <c r="B16" s="101">
        <v>12</v>
      </c>
      <c r="C16" s="110">
        <v>34484</v>
      </c>
      <c r="D16" s="10"/>
      <c r="E16" s="21" t="s">
        <v>625</v>
      </c>
      <c r="F16" s="21" t="s">
        <v>175</v>
      </c>
      <c r="G16" s="10" t="s">
        <v>1</v>
      </c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 t="s">
        <v>48</v>
      </c>
      <c r="AD16" s="95" t="s">
        <v>48</v>
      </c>
      <c r="AE16" s="95" t="s">
        <v>48</v>
      </c>
      <c r="AF16" s="95" t="s">
        <v>48</v>
      </c>
      <c r="AG16" s="95" t="s">
        <v>48</v>
      </c>
      <c r="AH16" s="95" t="s">
        <v>48</v>
      </c>
      <c r="AI16" s="95"/>
      <c r="AJ16" s="95"/>
      <c r="AK16" s="95"/>
      <c r="AL16" s="12">
        <f t="shared" si="0"/>
        <v>6</v>
      </c>
      <c r="AM16" s="36">
        <v>550</v>
      </c>
      <c r="AN16" s="36">
        <f t="shared" si="1"/>
        <v>3300</v>
      </c>
    </row>
    <row r="17" spans="2:40" s="23" customFormat="1" ht="16.2" customHeight="1" x14ac:dyDescent="0.3">
      <c r="B17" s="101">
        <v>13</v>
      </c>
      <c r="C17" s="110">
        <v>34286</v>
      </c>
      <c r="D17" s="10"/>
      <c r="E17" s="21" t="s">
        <v>384</v>
      </c>
      <c r="F17" s="21" t="s">
        <v>385</v>
      </c>
      <c r="G17" s="10" t="s">
        <v>1</v>
      </c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 t="s">
        <v>48</v>
      </c>
      <c r="AD17" s="95" t="s">
        <v>48</v>
      </c>
      <c r="AE17" s="95" t="s">
        <v>48</v>
      </c>
      <c r="AF17" s="95" t="s">
        <v>48</v>
      </c>
      <c r="AG17" s="95" t="s">
        <v>48</v>
      </c>
      <c r="AH17" s="95" t="s">
        <v>48</v>
      </c>
      <c r="AI17" s="95"/>
      <c r="AJ17" s="95"/>
      <c r="AK17" s="95"/>
      <c r="AL17" s="12">
        <f t="shared" si="0"/>
        <v>6</v>
      </c>
      <c r="AM17" s="36">
        <v>550</v>
      </c>
      <c r="AN17" s="36">
        <f t="shared" si="1"/>
        <v>3300</v>
      </c>
    </row>
    <row r="18" spans="2:40" s="23" customFormat="1" ht="16.2" customHeight="1" x14ac:dyDescent="0.3">
      <c r="B18" s="101">
        <v>14</v>
      </c>
      <c r="C18" s="110" t="s">
        <v>632</v>
      </c>
      <c r="D18" s="10"/>
      <c r="E18" s="21" t="s">
        <v>85</v>
      </c>
      <c r="F18" s="21" t="s">
        <v>631</v>
      </c>
      <c r="G18" s="10" t="s">
        <v>1</v>
      </c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 t="s">
        <v>48</v>
      </c>
      <c r="W18" s="92" t="s">
        <v>48</v>
      </c>
      <c r="X18" s="92" t="s">
        <v>48</v>
      </c>
      <c r="Y18" s="92" t="s">
        <v>48</v>
      </c>
      <c r="Z18" s="92" t="s">
        <v>48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12">
        <f t="shared" si="0"/>
        <v>5</v>
      </c>
      <c r="AM18" s="36">
        <v>550</v>
      </c>
      <c r="AN18" s="36">
        <f t="shared" si="1"/>
        <v>2750</v>
      </c>
    </row>
    <row r="19" spans="2:40" s="23" customFormat="1" ht="16.2" customHeight="1" x14ac:dyDescent="0.3">
      <c r="B19" s="101">
        <v>15</v>
      </c>
      <c r="C19" s="110">
        <v>34773</v>
      </c>
      <c r="D19" s="10"/>
      <c r="E19" s="21" t="s">
        <v>149</v>
      </c>
      <c r="F19" s="21" t="s">
        <v>633</v>
      </c>
      <c r="G19" s="10" t="s">
        <v>1</v>
      </c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 t="s">
        <v>48</v>
      </c>
      <c r="W19" s="92" t="s">
        <v>48</v>
      </c>
      <c r="X19" s="92" t="s">
        <v>48</v>
      </c>
      <c r="Y19" s="92" t="s">
        <v>48</v>
      </c>
      <c r="Z19" s="92" t="s">
        <v>48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12">
        <f t="shared" si="0"/>
        <v>5</v>
      </c>
      <c r="AM19" s="36">
        <v>550</v>
      </c>
      <c r="AN19" s="36">
        <f t="shared" si="1"/>
        <v>2750</v>
      </c>
    </row>
    <row r="20" spans="2:40" s="23" customFormat="1" ht="16.2" customHeight="1" x14ac:dyDescent="0.3">
      <c r="B20" s="101">
        <v>16</v>
      </c>
      <c r="C20" s="112" t="s">
        <v>798</v>
      </c>
      <c r="D20" s="10"/>
      <c r="E20" s="21" t="s">
        <v>538</v>
      </c>
      <c r="F20" s="21" t="s">
        <v>539</v>
      </c>
      <c r="G20" s="10" t="s">
        <v>1</v>
      </c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 t="s">
        <v>48</v>
      </c>
      <c r="AD20" s="91" t="s">
        <v>48</v>
      </c>
      <c r="AE20" s="91" t="s">
        <v>48</v>
      </c>
      <c r="AF20" s="91" t="s">
        <v>48</v>
      </c>
      <c r="AG20" s="91" t="s">
        <v>48</v>
      </c>
      <c r="AH20" s="91" t="s">
        <v>48</v>
      </c>
      <c r="AI20" s="91"/>
      <c r="AJ20" s="91" t="s">
        <v>48</v>
      </c>
      <c r="AK20" s="91" t="s">
        <v>48</v>
      </c>
      <c r="AL20" s="12">
        <f t="shared" si="0"/>
        <v>8</v>
      </c>
      <c r="AM20" s="36">
        <v>550</v>
      </c>
      <c r="AN20" s="36">
        <f t="shared" si="1"/>
        <v>4400</v>
      </c>
    </row>
    <row r="21" spans="2:40" s="23" customFormat="1" ht="16.2" customHeight="1" x14ac:dyDescent="0.3">
      <c r="B21" s="101">
        <v>17</v>
      </c>
      <c r="C21" s="173" t="s">
        <v>439</v>
      </c>
      <c r="D21" s="10"/>
      <c r="E21" s="21" t="s">
        <v>223</v>
      </c>
      <c r="F21" s="21" t="s">
        <v>224</v>
      </c>
      <c r="G21" s="9" t="s">
        <v>1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 t="s">
        <v>48</v>
      </c>
      <c r="AK21" s="9" t="s">
        <v>48</v>
      </c>
      <c r="AL21" s="12">
        <f t="shared" si="0"/>
        <v>2</v>
      </c>
      <c r="AM21" s="36">
        <v>550</v>
      </c>
      <c r="AN21" s="36">
        <f t="shared" si="1"/>
        <v>1100</v>
      </c>
    </row>
    <row r="22" spans="2:40" ht="16.2" customHeight="1" x14ac:dyDescent="0.3">
      <c r="B22" s="128" t="s">
        <v>15</v>
      </c>
      <c r="C22" s="128"/>
      <c r="D22" s="128"/>
      <c r="E22" s="128"/>
      <c r="F22" s="128"/>
      <c r="G22" s="128"/>
      <c r="H22" s="12">
        <f>COUNTIF(H2:H21,"P")+COUNTIF(H2:H21,"PP")+COUNTIF(H2:H21,"PP")</f>
        <v>5</v>
      </c>
      <c r="I22" s="12">
        <f t="shared" ref="I22:AK22" si="2">COUNTIF(I2:I21,"P")+COUNTIF(I2:I21,"PP")+COUNTIF(I2:I21,"PP")</f>
        <v>5</v>
      </c>
      <c r="J22" s="12">
        <f t="shared" si="2"/>
        <v>5</v>
      </c>
      <c r="K22" s="12">
        <f t="shared" si="2"/>
        <v>5</v>
      </c>
      <c r="L22" s="12">
        <f t="shared" si="2"/>
        <v>5</v>
      </c>
      <c r="M22" s="12">
        <f t="shared" si="2"/>
        <v>0</v>
      </c>
      <c r="N22" s="12">
        <f t="shared" si="2"/>
        <v>0</v>
      </c>
      <c r="O22" s="12">
        <f t="shared" si="2"/>
        <v>5</v>
      </c>
      <c r="P22" s="12">
        <f t="shared" si="2"/>
        <v>5</v>
      </c>
      <c r="Q22" s="12">
        <f t="shared" si="2"/>
        <v>5</v>
      </c>
      <c r="R22" s="12">
        <f t="shared" si="2"/>
        <v>5</v>
      </c>
      <c r="S22" s="12">
        <f t="shared" si="2"/>
        <v>5</v>
      </c>
      <c r="T22" s="12">
        <f t="shared" si="2"/>
        <v>0</v>
      </c>
      <c r="U22" s="12">
        <f t="shared" si="2"/>
        <v>0</v>
      </c>
      <c r="V22" s="12">
        <f t="shared" si="2"/>
        <v>5</v>
      </c>
      <c r="W22" s="12">
        <f t="shared" si="2"/>
        <v>5</v>
      </c>
      <c r="X22" s="12">
        <f t="shared" si="2"/>
        <v>5</v>
      </c>
      <c r="Y22" s="12">
        <f t="shared" si="2"/>
        <v>5</v>
      </c>
      <c r="Z22" s="12">
        <f t="shared" si="2"/>
        <v>5</v>
      </c>
      <c r="AA22" s="12">
        <f t="shared" si="2"/>
        <v>0</v>
      </c>
      <c r="AB22" s="12">
        <f t="shared" si="2"/>
        <v>0</v>
      </c>
      <c r="AC22" s="12">
        <f t="shared" si="2"/>
        <v>5</v>
      </c>
      <c r="AD22" s="12">
        <f t="shared" si="2"/>
        <v>5</v>
      </c>
      <c r="AE22" s="12">
        <f t="shared" si="2"/>
        <v>5</v>
      </c>
      <c r="AF22" s="12">
        <f t="shared" si="2"/>
        <v>5</v>
      </c>
      <c r="AG22" s="12">
        <f t="shared" si="2"/>
        <v>5</v>
      </c>
      <c r="AH22" s="12">
        <f t="shared" si="2"/>
        <v>5</v>
      </c>
      <c r="AI22" s="12">
        <f t="shared" si="2"/>
        <v>0</v>
      </c>
      <c r="AJ22" s="12">
        <f t="shared" si="2"/>
        <v>5</v>
      </c>
      <c r="AK22" s="12">
        <f t="shared" si="2"/>
        <v>5</v>
      </c>
      <c r="AL22" s="28">
        <f>SUM(AL5:AL21)</f>
        <v>115</v>
      </c>
      <c r="AN22" s="37">
        <f>SUM(AN5:AN21)</f>
        <v>64400</v>
      </c>
    </row>
  </sheetData>
  <mergeCells count="5">
    <mergeCell ref="B2:AL2"/>
    <mergeCell ref="B3:AL3"/>
    <mergeCell ref="B22:G22"/>
    <mergeCell ref="AM2:AM4"/>
    <mergeCell ref="AN2:AN4"/>
  </mergeCells>
  <conditionalFormatting sqref="C3">
    <cfRule type="duplicateValues" dxfId="64" priority="15"/>
  </conditionalFormatting>
  <conditionalFormatting sqref="C4">
    <cfRule type="duplicateValues" dxfId="63" priority="16"/>
  </conditionalFormatting>
  <conditionalFormatting sqref="C5:F5">
    <cfRule type="duplicateValues" dxfId="62" priority="12"/>
  </conditionalFormatting>
  <conditionalFormatting sqref="C7:F7">
    <cfRule type="duplicateValues" dxfId="61" priority="4"/>
  </conditionalFormatting>
  <conditionalFormatting sqref="C8:F8">
    <cfRule type="duplicateValues" dxfId="60" priority="8"/>
  </conditionalFormatting>
  <conditionalFormatting sqref="C9:F11">
    <cfRule type="duplicateValues" dxfId="59" priority="5"/>
  </conditionalFormatting>
  <conditionalFormatting sqref="H3:AK21">
    <cfRule type="cellIs" dxfId="58" priority="14" operator="equal">
      <formula>"a"</formula>
    </cfRule>
  </conditionalFormatting>
  <conditionalFormatting sqref="C12:F21">
    <cfRule type="duplicateValues" dxfId="57" priority="1924"/>
  </conditionalFormatting>
  <conditionalFormatting sqref="C5 C7:C21">
    <cfRule type="duplicateValues" dxfId="56" priority="192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59"/>
  <sheetViews>
    <sheetView workbookViewId="0">
      <pane xSplit="6" ySplit="4" topLeftCell="G39" activePane="bottomRight" state="frozen"/>
      <selection pane="topRight" activeCell="G1" sqref="G1"/>
      <selection pane="bottomLeft" activeCell="A5" sqref="A5"/>
      <selection pane="bottomRight" activeCell="C50" sqref="C50"/>
    </sheetView>
  </sheetViews>
  <sheetFormatPr defaultRowHeight="14.4" x14ac:dyDescent="0.3"/>
  <cols>
    <col min="1" max="1" width="3" customWidth="1"/>
    <col min="2" max="2" width="4.33203125" customWidth="1"/>
    <col min="3" max="3" width="9.109375" style="1" customWidth="1"/>
    <col min="4" max="4" width="6.44140625" customWidth="1"/>
    <col min="5" max="5" width="20.109375" bestFit="1" customWidth="1"/>
    <col min="6" max="6" width="18.6640625" bestFit="1" customWidth="1"/>
    <col min="7" max="7" width="5.5546875" customWidth="1"/>
    <col min="8" max="37" width="3.6640625" customWidth="1"/>
    <col min="38" max="38" width="5.33203125" customWidth="1"/>
    <col min="40" max="40" width="12.109375" bestFit="1" customWidth="1"/>
  </cols>
  <sheetData>
    <row r="2" spans="2:40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6"/>
      <c r="AM2" s="129" t="s">
        <v>471</v>
      </c>
      <c r="AN2" s="129" t="s">
        <v>473</v>
      </c>
    </row>
    <row r="3" spans="2:40" s="23" customFormat="1" ht="16.05" customHeight="1" x14ac:dyDescent="0.3">
      <c r="B3" s="136" t="s">
        <v>795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29"/>
      <c r="AN3" s="129"/>
    </row>
    <row r="4" spans="2:40" s="23" customFormat="1" ht="16.05" customHeight="1" x14ac:dyDescent="0.3">
      <c r="B4" s="46" t="s">
        <v>466</v>
      </c>
      <c r="C4" s="46" t="s">
        <v>2</v>
      </c>
      <c r="D4" s="46" t="s">
        <v>16</v>
      </c>
      <c r="E4" s="47" t="s">
        <v>3</v>
      </c>
      <c r="F4" s="47" t="s">
        <v>4</v>
      </c>
      <c r="G4" s="46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8" t="s">
        <v>6</v>
      </c>
      <c r="AM4" s="129"/>
      <c r="AN4" s="129"/>
    </row>
    <row r="5" spans="2:40" s="23" customFormat="1" ht="16.05" customHeight="1" x14ac:dyDescent="0.3">
      <c r="B5" s="105">
        <v>1</v>
      </c>
      <c r="C5" s="110" t="s">
        <v>501</v>
      </c>
      <c r="D5" s="20"/>
      <c r="E5" s="21" t="s">
        <v>499</v>
      </c>
      <c r="F5" s="21" t="s">
        <v>500</v>
      </c>
      <c r="G5" s="120" t="s">
        <v>0</v>
      </c>
      <c r="H5" s="106" t="s">
        <v>48</v>
      </c>
      <c r="I5" s="106" t="s">
        <v>48</v>
      </c>
      <c r="J5" s="106"/>
      <c r="K5" s="106"/>
      <c r="L5" s="106"/>
      <c r="M5" s="106"/>
      <c r="N5" s="106"/>
      <c r="O5" s="106"/>
      <c r="P5" s="106" t="s">
        <v>48</v>
      </c>
      <c r="Q5" s="106" t="s">
        <v>48</v>
      </c>
      <c r="R5" s="106" t="s">
        <v>48</v>
      </c>
      <c r="S5" s="106" t="s">
        <v>48</v>
      </c>
      <c r="T5" s="106" t="s">
        <v>48</v>
      </c>
      <c r="U5" s="106" t="s">
        <v>48</v>
      </c>
      <c r="V5" s="106" t="s">
        <v>48</v>
      </c>
      <c r="W5" s="106" t="s">
        <v>48</v>
      </c>
      <c r="X5" s="106" t="s">
        <v>48</v>
      </c>
      <c r="Y5" s="106" t="s">
        <v>48</v>
      </c>
      <c r="Z5" s="106" t="s">
        <v>48</v>
      </c>
      <c r="AA5" s="106" t="s">
        <v>48</v>
      </c>
      <c r="AB5" s="106" t="s">
        <v>48</v>
      </c>
      <c r="AC5" s="106" t="s">
        <v>48</v>
      </c>
      <c r="AD5" s="106" t="s">
        <v>48</v>
      </c>
      <c r="AE5" s="106" t="s">
        <v>48</v>
      </c>
      <c r="AF5" s="106"/>
      <c r="AG5" s="106"/>
      <c r="AH5" s="106"/>
      <c r="AI5" s="106"/>
      <c r="AJ5" s="106"/>
      <c r="AK5" s="106"/>
      <c r="AL5" s="12">
        <f t="shared" ref="AL5:AL28" si="0">COUNTIF(H5:AK5,"p")+COUNTIF(H5:AK5,"pp")+COUNTIF(H5:AK5,"pp")</f>
        <v>18</v>
      </c>
      <c r="AM5" s="36">
        <v>600</v>
      </c>
      <c r="AN5" s="36">
        <f>AL5*AM5</f>
        <v>10800</v>
      </c>
    </row>
    <row r="6" spans="2:40" s="23" customFormat="1" ht="16.05" customHeight="1" x14ac:dyDescent="0.3">
      <c r="B6" s="105">
        <v>2</v>
      </c>
      <c r="C6" s="10" t="s">
        <v>556</v>
      </c>
      <c r="D6" s="20"/>
      <c r="E6" s="20" t="s">
        <v>555</v>
      </c>
      <c r="F6" s="20" t="s">
        <v>73</v>
      </c>
      <c r="G6" s="120" t="s">
        <v>0</v>
      </c>
      <c r="H6" s="106"/>
      <c r="I6" s="106"/>
      <c r="J6" s="106"/>
      <c r="K6" s="106"/>
      <c r="L6" s="106"/>
      <c r="M6" s="106"/>
      <c r="N6" s="106" t="s">
        <v>48</v>
      </c>
      <c r="O6" s="106" t="s">
        <v>48</v>
      </c>
      <c r="P6" s="106" t="s">
        <v>48</v>
      </c>
      <c r="Q6" s="106" t="s">
        <v>48</v>
      </c>
      <c r="R6" s="106"/>
      <c r="S6" s="106" t="s">
        <v>48</v>
      </c>
      <c r="T6" s="106" t="s">
        <v>48</v>
      </c>
      <c r="U6" s="106" t="s">
        <v>48</v>
      </c>
      <c r="V6" s="106" t="s">
        <v>48</v>
      </c>
      <c r="W6" s="106" t="s">
        <v>48</v>
      </c>
      <c r="X6" s="106" t="s">
        <v>48</v>
      </c>
      <c r="Y6" s="106" t="s">
        <v>48</v>
      </c>
      <c r="Z6" s="106" t="s">
        <v>48</v>
      </c>
      <c r="AA6" s="106" t="s">
        <v>48</v>
      </c>
      <c r="AB6" s="106" t="s">
        <v>48</v>
      </c>
      <c r="AC6" s="106" t="s">
        <v>48</v>
      </c>
      <c r="AD6" s="106" t="s">
        <v>48</v>
      </c>
      <c r="AE6" s="106" t="s">
        <v>48</v>
      </c>
      <c r="AF6" s="106" t="s">
        <v>48</v>
      </c>
      <c r="AG6" s="106"/>
      <c r="AH6" s="106"/>
      <c r="AI6" s="106" t="s">
        <v>48</v>
      </c>
      <c r="AJ6" s="106" t="s">
        <v>48</v>
      </c>
      <c r="AK6" s="106" t="s">
        <v>48</v>
      </c>
      <c r="AL6" s="12">
        <f t="shared" si="0"/>
        <v>21</v>
      </c>
      <c r="AM6" s="36">
        <v>600</v>
      </c>
      <c r="AN6" s="36">
        <f t="shared" ref="AN6:AN28" si="1">AL6*AM6</f>
        <v>12600</v>
      </c>
    </row>
    <row r="7" spans="2:40" s="23" customFormat="1" ht="16.05" customHeight="1" x14ac:dyDescent="0.3">
      <c r="B7" s="105">
        <v>3</v>
      </c>
      <c r="C7" s="10">
        <v>34585</v>
      </c>
      <c r="D7" s="20"/>
      <c r="E7" s="20" t="s">
        <v>540</v>
      </c>
      <c r="F7" s="20" t="s">
        <v>541</v>
      </c>
      <c r="G7" s="10" t="s">
        <v>1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 t="s">
        <v>48</v>
      </c>
      <c r="AJ7" s="106" t="s">
        <v>48</v>
      </c>
      <c r="AK7" s="106"/>
      <c r="AL7" s="12">
        <f t="shared" si="0"/>
        <v>2</v>
      </c>
      <c r="AM7" s="36">
        <v>550</v>
      </c>
      <c r="AN7" s="36">
        <f t="shared" si="1"/>
        <v>1100</v>
      </c>
    </row>
    <row r="8" spans="2:40" s="23" customFormat="1" ht="16.05" customHeight="1" x14ac:dyDescent="0.3">
      <c r="B8" s="105">
        <v>4</v>
      </c>
      <c r="C8" s="168">
        <v>33507</v>
      </c>
      <c r="D8" s="20"/>
      <c r="E8" s="20" t="s">
        <v>280</v>
      </c>
      <c r="F8" s="20" t="s">
        <v>498</v>
      </c>
      <c r="G8" s="120" t="s">
        <v>0</v>
      </c>
      <c r="H8" s="106" t="s">
        <v>48</v>
      </c>
      <c r="I8" s="106" t="s">
        <v>48</v>
      </c>
      <c r="J8" s="106"/>
      <c r="K8" s="106"/>
      <c r="L8" s="106"/>
      <c r="M8" s="106" t="s">
        <v>48</v>
      </c>
      <c r="N8" s="106" t="s">
        <v>48</v>
      </c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2">
        <f t="shared" si="0"/>
        <v>4</v>
      </c>
      <c r="AM8" s="36">
        <v>600</v>
      </c>
      <c r="AN8" s="36">
        <f t="shared" si="1"/>
        <v>2400</v>
      </c>
    </row>
    <row r="9" spans="2:40" s="23" customFormat="1" ht="16.05" customHeight="1" x14ac:dyDescent="0.3">
      <c r="B9" s="105">
        <v>5</v>
      </c>
      <c r="C9" s="110" t="s">
        <v>504</v>
      </c>
      <c r="D9" s="20"/>
      <c r="E9" s="21" t="s">
        <v>502</v>
      </c>
      <c r="F9" s="21" t="s">
        <v>503</v>
      </c>
      <c r="G9" s="10" t="s">
        <v>1</v>
      </c>
      <c r="H9" s="106" t="s">
        <v>48</v>
      </c>
      <c r="I9" s="106" t="s">
        <v>48</v>
      </c>
      <c r="J9" s="106"/>
      <c r="K9" s="106"/>
      <c r="L9" s="106"/>
      <c r="M9" s="106"/>
      <c r="N9" s="106"/>
      <c r="O9" s="106"/>
      <c r="P9" s="106" t="s">
        <v>48</v>
      </c>
      <c r="Q9" s="106" t="s">
        <v>48</v>
      </c>
      <c r="R9" s="106" t="s">
        <v>48</v>
      </c>
      <c r="S9" s="106" t="s">
        <v>48</v>
      </c>
      <c r="T9" s="106" t="s">
        <v>48</v>
      </c>
      <c r="U9" s="106" t="s">
        <v>48</v>
      </c>
      <c r="V9" s="106" t="s">
        <v>48</v>
      </c>
      <c r="W9" s="106" t="s">
        <v>48</v>
      </c>
      <c r="X9" s="106" t="s">
        <v>48</v>
      </c>
      <c r="Y9" s="106" t="s">
        <v>48</v>
      </c>
      <c r="Z9" s="106" t="s">
        <v>48</v>
      </c>
      <c r="AA9" s="106" t="s">
        <v>48</v>
      </c>
      <c r="AB9" s="106" t="s">
        <v>48</v>
      </c>
      <c r="AC9" s="106" t="s">
        <v>48</v>
      </c>
      <c r="AD9" s="106" t="s">
        <v>48</v>
      </c>
      <c r="AE9" s="106" t="s">
        <v>48</v>
      </c>
      <c r="AF9" s="106"/>
      <c r="AG9" s="106"/>
      <c r="AH9" s="106"/>
      <c r="AI9" s="106"/>
      <c r="AJ9" s="106"/>
      <c r="AK9" s="106"/>
      <c r="AL9" s="12">
        <f t="shared" si="0"/>
        <v>18</v>
      </c>
      <c r="AM9" s="36">
        <v>550</v>
      </c>
      <c r="AN9" s="36">
        <f t="shared" si="1"/>
        <v>9900</v>
      </c>
    </row>
    <row r="10" spans="2:40" s="23" customFormat="1" ht="16.05" customHeight="1" x14ac:dyDescent="0.3">
      <c r="B10" s="105">
        <v>6</v>
      </c>
      <c r="C10" s="110" t="s">
        <v>506</v>
      </c>
      <c r="D10" s="20"/>
      <c r="E10" s="21" t="s">
        <v>387</v>
      </c>
      <c r="F10" s="21" t="s">
        <v>505</v>
      </c>
      <c r="G10" s="10" t="s">
        <v>1</v>
      </c>
      <c r="H10" s="106" t="s">
        <v>48</v>
      </c>
      <c r="I10" s="106" t="s">
        <v>48</v>
      </c>
      <c r="J10" s="106"/>
      <c r="K10" s="106"/>
      <c r="L10" s="106"/>
      <c r="M10" s="106"/>
      <c r="N10" s="106"/>
      <c r="O10" s="106"/>
      <c r="P10" s="106" t="s">
        <v>48</v>
      </c>
      <c r="Q10" s="106" t="s">
        <v>48</v>
      </c>
      <c r="R10" s="106" t="s">
        <v>48</v>
      </c>
      <c r="S10" s="106" t="s">
        <v>48</v>
      </c>
      <c r="T10" s="106" t="s">
        <v>48</v>
      </c>
      <c r="U10" s="106" t="s">
        <v>48</v>
      </c>
      <c r="V10" s="106" t="s">
        <v>48</v>
      </c>
      <c r="W10" s="106" t="s">
        <v>48</v>
      </c>
      <c r="X10" s="106" t="s">
        <v>48</v>
      </c>
      <c r="Y10" s="106" t="s">
        <v>48</v>
      </c>
      <c r="Z10" s="106" t="s">
        <v>48</v>
      </c>
      <c r="AA10" s="106" t="s">
        <v>48</v>
      </c>
      <c r="AB10" s="106" t="s">
        <v>48</v>
      </c>
      <c r="AC10" s="106" t="s">
        <v>48</v>
      </c>
      <c r="AD10" s="106" t="s">
        <v>48</v>
      </c>
      <c r="AE10" s="106" t="s">
        <v>48</v>
      </c>
      <c r="AF10" s="106"/>
      <c r="AG10" s="106"/>
      <c r="AH10" s="106"/>
      <c r="AI10" s="106"/>
      <c r="AJ10" s="106"/>
      <c r="AK10" s="106"/>
      <c r="AL10" s="12">
        <f t="shared" si="0"/>
        <v>18</v>
      </c>
      <c r="AM10" s="36">
        <v>550</v>
      </c>
      <c r="AN10" s="36">
        <f t="shared" si="1"/>
        <v>9900</v>
      </c>
    </row>
    <row r="11" spans="2:40" s="23" customFormat="1" ht="16.05" customHeight="1" x14ac:dyDescent="0.3">
      <c r="B11" s="105">
        <v>7</v>
      </c>
      <c r="C11" s="110" t="s">
        <v>509</v>
      </c>
      <c r="D11" s="21"/>
      <c r="E11" s="21" t="s">
        <v>507</v>
      </c>
      <c r="F11" s="21" t="s">
        <v>508</v>
      </c>
      <c r="G11" s="10" t="s">
        <v>1</v>
      </c>
      <c r="H11" s="106" t="s">
        <v>48</v>
      </c>
      <c r="I11" s="106" t="s">
        <v>48</v>
      </c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2">
        <f t="shared" si="0"/>
        <v>2</v>
      </c>
      <c r="AM11" s="36">
        <v>550</v>
      </c>
      <c r="AN11" s="36">
        <f t="shared" si="1"/>
        <v>1100</v>
      </c>
    </row>
    <row r="12" spans="2:40" s="23" customFormat="1" ht="16.05" customHeight="1" x14ac:dyDescent="0.3">
      <c r="B12" s="105">
        <v>8</v>
      </c>
      <c r="C12" s="173" t="s">
        <v>179</v>
      </c>
      <c r="D12" s="20"/>
      <c r="E12" s="21" t="s">
        <v>180</v>
      </c>
      <c r="F12" s="21" t="s">
        <v>181</v>
      </c>
      <c r="G12" s="10" t="s">
        <v>1</v>
      </c>
      <c r="H12" s="106"/>
      <c r="I12" s="106" t="s">
        <v>48</v>
      </c>
      <c r="J12" s="106" t="s">
        <v>48</v>
      </c>
      <c r="K12" s="106" t="s">
        <v>48</v>
      </c>
      <c r="L12" s="106" t="s">
        <v>48</v>
      </c>
      <c r="M12" s="106" t="s">
        <v>48</v>
      </c>
      <c r="N12" s="106" t="s">
        <v>48</v>
      </c>
      <c r="O12" s="106" t="s">
        <v>48</v>
      </c>
      <c r="P12" s="106" t="s">
        <v>48</v>
      </c>
      <c r="Q12" s="106"/>
      <c r="R12" s="106" t="s">
        <v>48</v>
      </c>
      <c r="S12" s="106" t="s">
        <v>48</v>
      </c>
      <c r="T12" s="106" t="s">
        <v>48</v>
      </c>
      <c r="U12" s="106" t="s">
        <v>48</v>
      </c>
      <c r="V12" s="106"/>
      <c r="W12" s="106"/>
      <c r="X12" s="106" t="s">
        <v>48</v>
      </c>
      <c r="Y12" s="106" t="s">
        <v>48</v>
      </c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 t="s">
        <v>48</v>
      </c>
      <c r="AK12" s="106" t="s">
        <v>48</v>
      </c>
      <c r="AL12" s="12">
        <f t="shared" si="0"/>
        <v>16</v>
      </c>
      <c r="AM12" s="36">
        <v>550</v>
      </c>
      <c r="AN12" s="36">
        <f t="shared" si="1"/>
        <v>8800</v>
      </c>
    </row>
    <row r="13" spans="2:40" s="23" customFormat="1" ht="16.05" customHeight="1" x14ac:dyDescent="0.3">
      <c r="B13" s="105">
        <v>9</v>
      </c>
      <c r="C13" s="173" t="s">
        <v>510</v>
      </c>
      <c r="D13" s="20"/>
      <c r="E13" s="21" t="s">
        <v>186</v>
      </c>
      <c r="F13" s="21" t="s">
        <v>187</v>
      </c>
      <c r="G13" s="10" t="s">
        <v>1</v>
      </c>
      <c r="H13" s="106"/>
      <c r="I13" s="106" t="s">
        <v>48</v>
      </c>
      <c r="J13" s="106" t="s">
        <v>48</v>
      </c>
      <c r="K13" s="106" t="s">
        <v>48</v>
      </c>
      <c r="L13" s="106" t="s">
        <v>48</v>
      </c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 t="s">
        <v>48</v>
      </c>
      <c r="Z13" s="106" t="s">
        <v>48</v>
      </c>
      <c r="AA13" s="106"/>
      <c r="AB13" s="106"/>
      <c r="AC13" s="106"/>
      <c r="AD13" s="106"/>
      <c r="AE13" s="106"/>
      <c r="AF13" s="106"/>
      <c r="AG13" s="106"/>
      <c r="AH13" s="106"/>
      <c r="AI13" s="106" t="s">
        <v>48</v>
      </c>
      <c r="AJ13" s="106" t="s">
        <v>48</v>
      </c>
      <c r="AK13" s="106"/>
      <c r="AL13" s="12">
        <f t="shared" si="0"/>
        <v>8</v>
      </c>
      <c r="AM13" s="36">
        <v>550</v>
      </c>
      <c r="AN13" s="36">
        <f t="shared" si="1"/>
        <v>4400</v>
      </c>
    </row>
    <row r="14" spans="2:40" s="23" customFormat="1" ht="16.05" customHeight="1" x14ac:dyDescent="0.3">
      <c r="B14" s="105">
        <v>10</v>
      </c>
      <c r="C14" s="173" t="s">
        <v>122</v>
      </c>
      <c r="D14" s="20"/>
      <c r="E14" s="21" t="s">
        <v>130</v>
      </c>
      <c r="F14" s="21" t="s">
        <v>131</v>
      </c>
      <c r="G14" s="10" t="s">
        <v>1</v>
      </c>
      <c r="H14" s="106"/>
      <c r="I14" s="106" t="s">
        <v>48</v>
      </c>
      <c r="J14" s="106" t="s">
        <v>48</v>
      </c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 t="s">
        <v>48</v>
      </c>
      <c r="AA14" s="106" t="s">
        <v>48</v>
      </c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2">
        <f t="shared" si="0"/>
        <v>4</v>
      </c>
      <c r="AM14" s="36">
        <v>550</v>
      </c>
      <c r="AN14" s="36">
        <f t="shared" si="1"/>
        <v>2200</v>
      </c>
    </row>
    <row r="15" spans="2:40" s="23" customFormat="1" ht="16.05" customHeight="1" x14ac:dyDescent="0.3">
      <c r="B15" s="105">
        <v>11</v>
      </c>
      <c r="C15" s="173" t="s">
        <v>364</v>
      </c>
      <c r="D15" s="20"/>
      <c r="E15" s="21" t="s">
        <v>362</v>
      </c>
      <c r="F15" s="21" t="s">
        <v>363</v>
      </c>
      <c r="G15" s="10" t="s">
        <v>1</v>
      </c>
      <c r="H15" s="106"/>
      <c r="I15" s="106" t="s">
        <v>48</v>
      </c>
      <c r="J15" s="106" t="s">
        <v>48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2">
        <f t="shared" si="0"/>
        <v>2</v>
      </c>
      <c r="AM15" s="36">
        <v>550</v>
      </c>
      <c r="AN15" s="36">
        <f t="shared" si="1"/>
        <v>1100</v>
      </c>
    </row>
    <row r="16" spans="2:40" s="23" customFormat="1" ht="16.05" customHeight="1" x14ac:dyDescent="0.3">
      <c r="B16" s="105">
        <v>12</v>
      </c>
      <c r="C16" s="10" t="s">
        <v>339</v>
      </c>
      <c r="D16" s="20"/>
      <c r="E16" s="20" t="s">
        <v>337</v>
      </c>
      <c r="F16" s="20" t="s">
        <v>338</v>
      </c>
      <c r="G16" s="10" t="s">
        <v>1</v>
      </c>
      <c r="H16" s="106"/>
      <c r="I16" s="106" t="s">
        <v>48</v>
      </c>
      <c r="J16" s="106" t="s">
        <v>48</v>
      </c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2">
        <f t="shared" si="0"/>
        <v>2</v>
      </c>
      <c r="AM16" s="36">
        <v>550</v>
      </c>
      <c r="AN16" s="36">
        <f t="shared" si="1"/>
        <v>1100</v>
      </c>
    </row>
    <row r="17" spans="2:40" s="23" customFormat="1" ht="16.05" customHeight="1" x14ac:dyDescent="0.3">
      <c r="B17" s="105">
        <v>13</v>
      </c>
      <c r="C17" s="10" t="s">
        <v>167</v>
      </c>
      <c r="D17" s="20"/>
      <c r="E17" s="20" t="s">
        <v>168</v>
      </c>
      <c r="F17" s="20" t="s">
        <v>169</v>
      </c>
      <c r="G17" s="120" t="s">
        <v>0</v>
      </c>
      <c r="H17" s="106"/>
      <c r="I17" s="106"/>
      <c r="J17" s="106" t="s">
        <v>48</v>
      </c>
      <c r="K17" s="106" t="s">
        <v>48</v>
      </c>
      <c r="L17" s="106"/>
      <c r="M17" s="106"/>
      <c r="N17" s="106"/>
      <c r="O17" s="106"/>
      <c r="P17" s="106"/>
      <c r="Q17" s="106" t="s">
        <v>48</v>
      </c>
      <c r="R17" s="106" t="s">
        <v>48</v>
      </c>
      <c r="S17" s="106" t="s">
        <v>48</v>
      </c>
      <c r="T17" s="106" t="s">
        <v>48</v>
      </c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2">
        <f t="shared" si="0"/>
        <v>6</v>
      </c>
      <c r="AM17" s="36">
        <v>600</v>
      </c>
      <c r="AN17" s="36">
        <f t="shared" si="1"/>
        <v>3600</v>
      </c>
    </row>
    <row r="18" spans="2:40" s="23" customFormat="1" ht="16.05" customHeight="1" x14ac:dyDescent="0.3">
      <c r="B18" s="105">
        <v>14</v>
      </c>
      <c r="C18" s="110" t="s">
        <v>808</v>
      </c>
      <c r="D18" s="20"/>
      <c r="E18" s="20" t="s">
        <v>755</v>
      </c>
      <c r="F18" s="20" t="s">
        <v>756</v>
      </c>
      <c r="G18" s="10" t="s">
        <v>1</v>
      </c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 t="s">
        <v>48</v>
      </c>
      <c r="AK18" s="106" t="s">
        <v>48</v>
      </c>
      <c r="AL18" s="12">
        <f t="shared" si="0"/>
        <v>2</v>
      </c>
      <c r="AM18" s="36">
        <v>550</v>
      </c>
      <c r="AN18" s="36">
        <f t="shared" si="1"/>
        <v>1100</v>
      </c>
    </row>
    <row r="19" spans="2:40" s="23" customFormat="1" ht="16.05" customHeight="1" x14ac:dyDescent="0.3">
      <c r="B19" s="105">
        <v>15</v>
      </c>
      <c r="C19" s="110" t="s">
        <v>809</v>
      </c>
      <c r="D19" s="20"/>
      <c r="E19" s="20" t="s">
        <v>757</v>
      </c>
      <c r="F19" s="20" t="s">
        <v>778</v>
      </c>
      <c r="G19" s="10" t="s">
        <v>1</v>
      </c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 t="s">
        <v>48</v>
      </c>
      <c r="AK19" s="106" t="s">
        <v>48</v>
      </c>
      <c r="AL19" s="12">
        <f t="shared" si="0"/>
        <v>2</v>
      </c>
      <c r="AM19" s="36">
        <v>550</v>
      </c>
      <c r="AN19" s="36">
        <f t="shared" si="1"/>
        <v>1100</v>
      </c>
    </row>
    <row r="20" spans="2:40" s="23" customFormat="1" ht="16.05" customHeight="1" x14ac:dyDescent="0.3">
      <c r="B20" s="105">
        <v>16</v>
      </c>
      <c r="C20" s="10" t="s">
        <v>527</v>
      </c>
      <c r="D20" s="20"/>
      <c r="E20" s="20" t="s">
        <v>259</v>
      </c>
      <c r="F20" s="20" t="s">
        <v>213</v>
      </c>
      <c r="G20" s="10" t="s">
        <v>1</v>
      </c>
      <c r="H20" s="106"/>
      <c r="I20" s="106"/>
      <c r="J20" s="106" t="s">
        <v>48</v>
      </c>
      <c r="K20" s="106" t="s">
        <v>48</v>
      </c>
      <c r="L20" s="106" t="s">
        <v>48</v>
      </c>
      <c r="M20" s="106" t="s">
        <v>412</v>
      </c>
      <c r="N20" s="106" t="s">
        <v>48</v>
      </c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2">
        <f t="shared" si="0"/>
        <v>6</v>
      </c>
      <c r="AM20" s="36">
        <v>550</v>
      </c>
      <c r="AN20" s="36">
        <f t="shared" si="1"/>
        <v>3300</v>
      </c>
    </row>
    <row r="21" spans="2:40" s="23" customFormat="1" ht="16.05" customHeight="1" x14ac:dyDescent="0.3">
      <c r="B21" s="105">
        <v>17</v>
      </c>
      <c r="C21" s="168">
        <v>33676</v>
      </c>
      <c r="D21" s="20"/>
      <c r="E21" s="20" t="s">
        <v>377</v>
      </c>
      <c r="F21" s="20" t="s">
        <v>185</v>
      </c>
      <c r="G21" s="10" t="s">
        <v>1</v>
      </c>
      <c r="H21" s="106"/>
      <c r="I21" s="106"/>
      <c r="J21" s="106" t="s">
        <v>48</v>
      </c>
      <c r="K21" s="106" t="s">
        <v>48</v>
      </c>
      <c r="L21" s="106" t="s">
        <v>48</v>
      </c>
      <c r="M21" s="106" t="s">
        <v>48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2">
        <f t="shared" si="0"/>
        <v>4</v>
      </c>
      <c r="AM21" s="36">
        <v>550</v>
      </c>
      <c r="AN21" s="36">
        <f t="shared" si="1"/>
        <v>2200</v>
      </c>
    </row>
    <row r="22" spans="2:40" s="23" customFormat="1" ht="16.05" customHeight="1" x14ac:dyDescent="0.3">
      <c r="B22" s="105">
        <v>18</v>
      </c>
      <c r="C22" s="10" t="s">
        <v>411</v>
      </c>
      <c r="D22" s="20"/>
      <c r="E22" s="20" t="s">
        <v>221</v>
      </c>
      <c r="F22" s="20" t="s">
        <v>222</v>
      </c>
      <c r="G22" s="10" t="s">
        <v>1</v>
      </c>
      <c r="H22" s="106"/>
      <c r="I22" s="106"/>
      <c r="J22" s="106" t="s">
        <v>48</v>
      </c>
      <c r="K22" s="106" t="s">
        <v>48</v>
      </c>
      <c r="L22" s="106"/>
      <c r="M22" s="106"/>
      <c r="N22" s="106" t="s">
        <v>48</v>
      </c>
      <c r="O22" s="106" t="s">
        <v>48</v>
      </c>
      <c r="P22" s="106"/>
      <c r="Q22" s="106"/>
      <c r="R22" s="106"/>
      <c r="S22" s="106" t="s">
        <v>48</v>
      </c>
      <c r="T22" s="106" t="s">
        <v>48</v>
      </c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2">
        <f t="shared" si="0"/>
        <v>6</v>
      </c>
      <c r="AM22" s="36">
        <v>550</v>
      </c>
      <c r="AN22" s="36">
        <f t="shared" si="1"/>
        <v>3300</v>
      </c>
    </row>
    <row r="23" spans="2:40" s="23" customFormat="1" ht="16.05" customHeight="1" x14ac:dyDescent="0.3">
      <c r="B23" s="105">
        <v>19</v>
      </c>
      <c r="C23" s="110" t="s">
        <v>173</v>
      </c>
      <c r="D23" s="20"/>
      <c r="E23" s="21" t="s">
        <v>174</v>
      </c>
      <c r="F23" s="21" t="s">
        <v>175</v>
      </c>
      <c r="G23" s="10" t="s">
        <v>1</v>
      </c>
      <c r="H23" s="106"/>
      <c r="I23" s="106"/>
      <c r="J23" s="106" t="s">
        <v>48</v>
      </c>
      <c r="K23" s="106" t="s">
        <v>48</v>
      </c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2">
        <f t="shared" si="0"/>
        <v>2</v>
      </c>
      <c r="AM23" s="36">
        <v>550</v>
      </c>
      <c r="AN23" s="36">
        <f t="shared" si="1"/>
        <v>1100</v>
      </c>
    </row>
    <row r="24" spans="2:40" s="23" customFormat="1" ht="16.05" customHeight="1" x14ac:dyDescent="0.3">
      <c r="B24" s="105">
        <v>20</v>
      </c>
      <c r="C24" s="110" t="s">
        <v>444</v>
      </c>
      <c r="D24" s="20"/>
      <c r="E24" s="21" t="s">
        <v>301</v>
      </c>
      <c r="F24" s="21" t="s">
        <v>196</v>
      </c>
      <c r="G24" s="10" t="s">
        <v>1</v>
      </c>
      <c r="H24" s="106"/>
      <c r="I24" s="106"/>
      <c r="J24" s="106"/>
      <c r="K24" s="106"/>
      <c r="L24" s="106" t="s">
        <v>48</v>
      </c>
      <c r="M24" s="106" t="s">
        <v>48</v>
      </c>
      <c r="N24" s="106"/>
      <c r="O24" s="106" t="s">
        <v>48</v>
      </c>
      <c r="P24" s="106" t="s">
        <v>48</v>
      </c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 t="s">
        <v>48</v>
      </c>
      <c r="AH24" s="106" t="s">
        <v>48</v>
      </c>
      <c r="AI24" s="106"/>
      <c r="AJ24" s="106"/>
      <c r="AK24" s="106"/>
      <c r="AL24" s="12">
        <f t="shared" si="0"/>
        <v>6</v>
      </c>
      <c r="AM24" s="36">
        <v>550</v>
      </c>
      <c r="AN24" s="36">
        <f t="shared" si="1"/>
        <v>3300</v>
      </c>
    </row>
    <row r="25" spans="2:40" s="23" customFormat="1" ht="16.05" customHeight="1" x14ac:dyDescent="0.3">
      <c r="B25" s="105">
        <v>21</v>
      </c>
      <c r="C25" s="173" t="s">
        <v>407</v>
      </c>
      <c r="D25" s="20"/>
      <c r="E25" s="21" t="s">
        <v>405</v>
      </c>
      <c r="F25" s="21" t="s">
        <v>406</v>
      </c>
      <c r="G25" s="10" t="s">
        <v>1</v>
      </c>
      <c r="H25" s="106"/>
      <c r="I25" s="106"/>
      <c r="J25" s="106"/>
      <c r="K25" s="106"/>
      <c r="L25" s="106"/>
      <c r="M25" s="106"/>
      <c r="N25" s="106" t="s">
        <v>290</v>
      </c>
      <c r="O25" s="106" t="s">
        <v>290</v>
      </c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2">
        <f t="shared" si="0"/>
        <v>2</v>
      </c>
      <c r="AM25" s="36">
        <v>550</v>
      </c>
      <c r="AN25" s="36">
        <f t="shared" si="1"/>
        <v>1100</v>
      </c>
    </row>
    <row r="26" spans="2:40" s="23" customFormat="1" ht="16.05" customHeight="1" x14ac:dyDescent="0.3">
      <c r="B26" s="105">
        <v>22</v>
      </c>
      <c r="C26" s="110" t="s">
        <v>566</v>
      </c>
      <c r="D26" s="20"/>
      <c r="E26" s="21" t="s">
        <v>564</v>
      </c>
      <c r="F26" s="21" t="s">
        <v>565</v>
      </c>
      <c r="G26" s="10" t="s">
        <v>1</v>
      </c>
      <c r="H26" s="106"/>
      <c r="I26" s="106"/>
      <c r="J26" s="106"/>
      <c r="K26" s="106"/>
      <c r="L26" s="106"/>
      <c r="M26" s="106"/>
      <c r="N26" s="106"/>
      <c r="O26" s="106"/>
      <c r="P26" s="106" t="s">
        <v>48</v>
      </c>
      <c r="Q26" s="106" t="s">
        <v>48</v>
      </c>
      <c r="R26" s="106"/>
      <c r="S26" s="106" t="s">
        <v>48</v>
      </c>
      <c r="T26" s="106" t="s">
        <v>48</v>
      </c>
      <c r="U26" s="106" t="s">
        <v>48</v>
      </c>
      <c r="V26" s="106" t="s">
        <v>48</v>
      </c>
      <c r="W26" s="106" t="s">
        <v>48</v>
      </c>
      <c r="X26" s="106" t="s">
        <v>48</v>
      </c>
      <c r="Y26" s="106"/>
      <c r="Z26" s="106"/>
      <c r="AA26" s="106" t="s">
        <v>48</v>
      </c>
      <c r="AB26" s="106" t="s">
        <v>48</v>
      </c>
      <c r="AC26" s="106" t="s">
        <v>48</v>
      </c>
      <c r="AD26" s="106" t="s">
        <v>48</v>
      </c>
      <c r="AE26" s="106"/>
      <c r="AF26" s="106"/>
      <c r="AG26" s="106" t="s">
        <v>48</v>
      </c>
      <c r="AH26" s="106" t="s">
        <v>48</v>
      </c>
      <c r="AI26" s="106"/>
      <c r="AJ26" s="106"/>
      <c r="AK26" s="106"/>
      <c r="AL26" s="12">
        <f t="shared" si="0"/>
        <v>14</v>
      </c>
      <c r="AM26" s="36">
        <v>550</v>
      </c>
      <c r="AN26" s="36">
        <f t="shared" si="1"/>
        <v>7700</v>
      </c>
    </row>
    <row r="27" spans="2:40" s="23" customFormat="1" ht="16.05" customHeight="1" x14ac:dyDescent="0.3">
      <c r="B27" s="105">
        <v>23</v>
      </c>
      <c r="C27" s="10" t="s">
        <v>456</v>
      </c>
      <c r="D27" s="20"/>
      <c r="E27" s="20" t="s">
        <v>428</v>
      </c>
      <c r="F27" s="20" t="s">
        <v>218</v>
      </c>
      <c r="G27" s="10" t="s">
        <v>1</v>
      </c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 t="s">
        <v>48</v>
      </c>
      <c r="T27" s="106" t="s">
        <v>48</v>
      </c>
      <c r="U27" s="106" t="s">
        <v>48</v>
      </c>
      <c r="V27" s="106" t="s">
        <v>48</v>
      </c>
      <c r="W27" s="106" t="s">
        <v>48</v>
      </c>
      <c r="X27" s="106" t="s">
        <v>48</v>
      </c>
      <c r="Y27" s="106"/>
      <c r="Z27" s="106"/>
      <c r="AA27" s="106"/>
      <c r="AB27" s="106"/>
      <c r="AC27" s="106"/>
      <c r="AD27" s="106"/>
      <c r="AE27" s="106"/>
      <c r="AF27" s="106" t="s">
        <v>48</v>
      </c>
      <c r="AG27" s="106" t="s">
        <v>48</v>
      </c>
      <c r="AH27" s="106" t="s">
        <v>48</v>
      </c>
      <c r="AI27" s="106" t="s">
        <v>48</v>
      </c>
      <c r="AJ27" s="106"/>
      <c r="AK27" s="106"/>
      <c r="AL27" s="12">
        <f t="shared" si="0"/>
        <v>10</v>
      </c>
      <c r="AM27" s="36">
        <v>550</v>
      </c>
      <c r="AN27" s="36">
        <f t="shared" si="1"/>
        <v>5500</v>
      </c>
    </row>
    <row r="28" spans="2:40" s="23" customFormat="1" ht="16.05" customHeight="1" x14ac:dyDescent="0.3">
      <c r="B28" s="105">
        <v>24</v>
      </c>
      <c r="C28" s="10">
        <v>34489</v>
      </c>
      <c r="D28" s="20"/>
      <c r="E28" s="20" t="s">
        <v>280</v>
      </c>
      <c r="F28" s="20" t="s">
        <v>402</v>
      </c>
      <c r="G28" s="10" t="s">
        <v>1</v>
      </c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 t="s">
        <v>48</v>
      </c>
      <c r="X28" s="106" t="s">
        <v>48</v>
      </c>
      <c r="Y28" s="106" t="s">
        <v>48</v>
      </c>
      <c r="Z28" s="106" t="s">
        <v>48</v>
      </c>
      <c r="AA28" s="106" t="s">
        <v>48</v>
      </c>
      <c r="AB28" s="106" t="s">
        <v>48</v>
      </c>
      <c r="AC28" s="106" t="s">
        <v>48</v>
      </c>
      <c r="AD28" s="106" t="s">
        <v>48</v>
      </c>
      <c r="AE28" s="106" t="s">
        <v>48</v>
      </c>
      <c r="AF28" s="106" t="s">
        <v>48</v>
      </c>
      <c r="AG28" s="106"/>
      <c r="AH28" s="106"/>
      <c r="AI28" s="106"/>
      <c r="AJ28" s="106"/>
      <c r="AK28" s="106"/>
      <c r="AL28" s="12">
        <f t="shared" si="0"/>
        <v>10</v>
      </c>
      <c r="AM28" s="36">
        <v>550</v>
      </c>
      <c r="AN28" s="36">
        <f t="shared" si="1"/>
        <v>5500</v>
      </c>
    </row>
    <row r="29" spans="2:40" s="23" customFormat="1" ht="16.05" customHeight="1" x14ac:dyDescent="0.3">
      <c r="B29" s="128" t="s">
        <v>15</v>
      </c>
      <c r="C29" s="128"/>
      <c r="D29" s="128"/>
      <c r="E29" s="128"/>
      <c r="F29" s="128"/>
      <c r="G29" s="128"/>
      <c r="H29" s="12">
        <f>COUNTIF(H5:H28,"P")+COUNTIF(H5:H28,"PP")+COUNTIF(H5:H28,"PP")</f>
        <v>5</v>
      </c>
      <c r="I29" s="12">
        <f t="shared" ref="I29:AK29" si="2">COUNTIF(I5:I28,"P")+COUNTIF(I5:I28,"PP")+COUNTIF(I5:I28,"PP")</f>
        <v>10</v>
      </c>
      <c r="J29" s="12">
        <f t="shared" si="2"/>
        <v>10</v>
      </c>
      <c r="K29" s="12">
        <f t="shared" si="2"/>
        <v>7</v>
      </c>
      <c r="L29" s="12">
        <f t="shared" si="2"/>
        <v>5</v>
      </c>
      <c r="M29" s="12">
        <f t="shared" si="2"/>
        <v>6</v>
      </c>
      <c r="N29" s="12">
        <f t="shared" si="2"/>
        <v>6</v>
      </c>
      <c r="O29" s="12">
        <f t="shared" si="2"/>
        <v>5</v>
      </c>
      <c r="P29" s="12">
        <f t="shared" si="2"/>
        <v>7</v>
      </c>
      <c r="Q29" s="12">
        <f t="shared" si="2"/>
        <v>6</v>
      </c>
      <c r="R29" s="12">
        <f t="shared" si="2"/>
        <v>5</v>
      </c>
      <c r="S29" s="12">
        <f t="shared" si="2"/>
        <v>9</v>
      </c>
      <c r="T29" s="12">
        <f t="shared" si="2"/>
        <v>9</v>
      </c>
      <c r="U29" s="12">
        <f t="shared" si="2"/>
        <v>7</v>
      </c>
      <c r="V29" s="12">
        <f t="shared" si="2"/>
        <v>6</v>
      </c>
      <c r="W29" s="12">
        <f t="shared" si="2"/>
        <v>7</v>
      </c>
      <c r="X29" s="12">
        <f t="shared" si="2"/>
        <v>8</v>
      </c>
      <c r="Y29" s="12">
        <f t="shared" si="2"/>
        <v>7</v>
      </c>
      <c r="Z29" s="12">
        <f t="shared" si="2"/>
        <v>7</v>
      </c>
      <c r="AA29" s="12">
        <f t="shared" si="2"/>
        <v>7</v>
      </c>
      <c r="AB29" s="12">
        <f t="shared" si="2"/>
        <v>6</v>
      </c>
      <c r="AC29" s="12">
        <f t="shared" si="2"/>
        <v>6</v>
      </c>
      <c r="AD29" s="12">
        <f t="shared" si="2"/>
        <v>6</v>
      </c>
      <c r="AE29" s="12">
        <f t="shared" si="2"/>
        <v>5</v>
      </c>
      <c r="AF29" s="12">
        <f t="shared" si="2"/>
        <v>3</v>
      </c>
      <c r="AG29" s="12">
        <f t="shared" si="2"/>
        <v>3</v>
      </c>
      <c r="AH29" s="12">
        <f t="shared" si="2"/>
        <v>3</v>
      </c>
      <c r="AI29" s="12">
        <f t="shared" si="2"/>
        <v>4</v>
      </c>
      <c r="AJ29" s="12">
        <f t="shared" si="2"/>
        <v>6</v>
      </c>
      <c r="AK29" s="12">
        <f t="shared" si="2"/>
        <v>4</v>
      </c>
      <c r="AL29" s="28">
        <f>SUM(AL5:AL28)</f>
        <v>185</v>
      </c>
      <c r="AN29" s="37">
        <f>SUM(AN5:AN28)</f>
        <v>104200</v>
      </c>
    </row>
    <row r="32" spans="2:40" ht="22.8" x14ac:dyDescent="0.3">
      <c r="B32" s="124" t="s">
        <v>14</v>
      </c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6"/>
      <c r="AM32" s="129" t="s">
        <v>471</v>
      </c>
      <c r="AN32" s="129" t="s">
        <v>473</v>
      </c>
    </row>
    <row r="33" spans="2:40" ht="16.05" customHeight="1" x14ac:dyDescent="0.3">
      <c r="B33" s="136" t="s">
        <v>795</v>
      </c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29"/>
      <c r="AN33" s="129"/>
    </row>
    <row r="34" spans="2:40" ht="16.05" customHeight="1" x14ac:dyDescent="0.3">
      <c r="B34" s="46" t="s">
        <v>466</v>
      </c>
      <c r="C34" s="46" t="s">
        <v>2</v>
      </c>
      <c r="D34" s="46" t="s">
        <v>16</v>
      </c>
      <c r="E34" s="47" t="s">
        <v>3</v>
      </c>
      <c r="F34" s="47" t="s">
        <v>4</v>
      </c>
      <c r="G34" s="46" t="s">
        <v>7</v>
      </c>
      <c r="H34" s="46">
        <v>1</v>
      </c>
      <c r="I34" s="46">
        <v>2</v>
      </c>
      <c r="J34" s="46">
        <v>3</v>
      </c>
      <c r="K34" s="46">
        <v>4</v>
      </c>
      <c r="L34" s="46">
        <v>5</v>
      </c>
      <c r="M34" s="46">
        <v>6</v>
      </c>
      <c r="N34" s="46">
        <v>7</v>
      </c>
      <c r="O34" s="46">
        <v>8</v>
      </c>
      <c r="P34" s="46">
        <v>9</v>
      </c>
      <c r="Q34" s="46">
        <v>10</v>
      </c>
      <c r="R34" s="46">
        <v>11</v>
      </c>
      <c r="S34" s="46">
        <v>12</v>
      </c>
      <c r="T34" s="46">
        <v>13</v>
      </c>
      <c r="U34" s="46">
        <v>14</v>
      </c>
      <c r="V34" s="46">
        <v>15</v>
      </c>
      <c r="W34" s="46">
        <v>16</v>
      </c>
      <c r="X34" s="46">
        <v>17</v>
      </c>
      <c r="Y34" s="46">
        <v>18</v>
      </c>
      <c r="Z34" s="46">
        <v>19</v>
      </c>
      <c r="AA34" s="46">
        <v>20</v>
      </c>
      <c r="AB34" s="46">
        <v>21</v>
      </c>
      <c r="AC34" s="46">
        <v>22</v>
      </c>
      <c r="AD34" s="46">
        <v>23</v>
      </c>
      <c r="AE34" s="46">
        <v>24</v>
      </c>
      <c r="AF34" s="46">
        <v>25</v>
      </c>
      <c r="AG34" s="46">
        <v>26</v>
      </c>
      <c r="AH34" s="46">
        <v>27</v>
      </c>
      <c r="AI34" s="46">
        <v>28</v>
      </c>
      <c r="AJ34" s="46">
        <v>29</v>
      </c>
      <c r="AK34" s="46">
        <v>30</v>
      </c>
      <c r="AL34" s="48" t="s">
        <v>6</v>
      </c>
      <c r="AM34" s="129"/>
      <c r="AN34" s="129"/>
    </row>
    <row r="35" spans="2:40" ht="16.05" customHeight="1" x14ac:dyDescent="0.3">
      <c r="B35" s="105">
        <v>1</v>
      </c>
      <c r="C35" s="110" t="s">
        <v>192</v>
      </c>
      <c r="D35" s="20"/>
      <c r="E35" s="21" t="s">
        <v>193</v>
      </c>
      <c r="F35" s="21" t="s">
        <v>194</v>
      </c>
      <c r="G35" s="120" t="s">
        <v>0</v>
      </c>
      <c r="H35" s="91"/>
      <c r="I35" s="91"/>
      <c r="J35" s="91"/>
      <c r="K35" s="91" t="s">
        <v>48</v>
      </c>
      <c r="L35" s="91" t="s">
        <v>48</v>
      </c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12">
        <f t="shared" ref="AL35:AL55" si="3">COUNTIF(H35:AK35,"p")+COUNTIF(H35:AK35,"pp")+COUNTIF(H35:AK35,"pp")</f>
        <v>2</v>
      </c>
      <c r="AM35" s="36">
        <v>600</v>
      </c>
      <c r="AN35" s="36">
        <f>AL35*AM35</f>
        <v>1200</v>
      </c>
    </row>
    <row r="36" spans="2:40" ht="16.05" customHeight="1" x14ac:dyDescent="0.3">
      <c r="B36" s="105">
        <v>2</v>
      </c>
      <c r="C36" s="110" t="s">
        <v>554</v>
      </c>
      <c r="D36" s="20"/>
      <c r="E36" s="21" t="s">
        <v>302</v>
      </c>
      <c r="F36" s="21" t="s">
        <v>303</v>
      </c>
      <c r="G36" s="10" t="s">
        <v>1</v>
      </c>
      <c r="H36" s="91"/>
      <c r="I36" s="91"/>
      <c r="J36" s="91"/>
      <c r="K36" s="91"/>
      <c r="L36" s="91"/>
      <c r="M36" s="91"/>
      <c r="N36" s="91" t="s">
        <v>48</v>
      </c>
      <c r="O36" s="91" t="s">
        <v>48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12">
        <f t="shared" si="3"/>
        <v>2</v>
      </c>
      <c r="AM36" s="36">
        <v>550</v>
      </c>
      <c r="AN36" s="36">
        <f t="shared" ref="AN36:AN55" si="4">AL36*AM36</f>
        <v>1100</v>
      </c>
    </row>
    <row r="37" spans="2:40" ht="16.05" customHeight="1" x14ac:dyDescent="0.3">
      <c r="B37" s="108">
        <v>3</v>
      </c>
      <c r="C37" s="110" t="s">
        <v>155</v>
      </c>
      <c r="D37" s="20"/>
      <c r="E37" s="21" t="s">
        <v>161</v>
      </c>
      <c r="F37" s="21" t="s">
        <v>162</v>
      </c>
      <c r="G37" s="10" t="s">
        <v>1</v>
      </c>
      <c r="H37" s="91"/>
      <c r="I37" s="91"/>
      <c r="J37" s="91"/>
      <c r="K37" s="91" t="s">
        <v>48</v>
      </c>
      <c r="L37" s="91" t="s">
        <v>48</v>
      </c>
      <c r="M37" s="91"/>
      <c r="N37" s="91" t="s">
        <v>290</v>
      </c>
      <c r="O37" s="91" t="s">
        <v>290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12">
        <f t="shared" si="3"/>
        <v>4</v>
      </c>
      <c r="AM37" s="36">
        <v>550</v>
      </c>
      <c r="AN37" s="36">
        <f t="shared" si="4"/>
        <v>2200</v>
      </c>
    </row>
    <row r="38" spans="2:40" ht="16.05" customHeight="1" x14ac:dyDescent="0.3">
      <c r="B38" s="108">
        <v>4</v>
      </c>
      <c r="C38" s="10" t="s">
        <v>342</v>
      </c>
      <c r="D38" s="20"/>
      <c r="E38" s="20" t="s">
        <v>340</v>
      </c>
      <c r="F38" s="20" t="s">
        <v>341</v>
      </c>
      <c r="G38" s="10" t="s">
        <v>1</v>
      </c>
      <c r="H38" s="91"/>
      <c r="I38" s="91"/>
      <c r="J38" s="91"/>
      <c r="K38" s="91" t="s">
        <v>48</v>
      </c>
      <c r="L38" s="91" t="s">
        <v>48</v>
      </c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12">
        <f t="shared" si="3"/>
        <v>2</v>
      </c>
      <c r="AM38" s="36">
        <v>550</v>
      </c>
      <c r="AN38" s="36">
        <f t="shared" si="4"/>
        <v>1100</v>
      </c>
    </row>
    <row r="39" spans="2:40" ht="16.05" customHeight="1" x14ac:dyDescent="0.3">
      <c r="B39" s="108">
        <v>5</v>
      </c>
      <c r="C39" s="110" t="s">
        <v>47</v>
      </c>
      <c r="D39" s="20"/>
      <c r="E39" s="21" t="s">
        <v>45</v>
      </c>
      <c r="F39" s="21" t="s">
        <v>46</v>
      </c>
      <c r="G39" s="10" t="s">
        <v>1</v>
      </c>
      <c r="H39" s="91"/>
      <c r="I39" s="91"/>
      <c r="J39" s="91"/>
      <c r="K39" s="91"/>
      <c r="L39" s="91" t="s">
        <v>48</v>
      </c>
      <c r="M39" s="91" t="s">
        <v>48</v>
      </c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12">
        <f t="shared" si="3"/>
        <v>2</v>
      </c>
      <c r="AM39" s="36">
        <v>550</v>
      </c>
      <c r="AN39" s="36">
        <f t="shared" si="4"/>
        <v>1100</v>
      </c>
    </row>
    <row r="40" spans="2:40" ht="16.05" customHeight="1" x14ac:dyDescent="0.3">
      <c r="B40" s="108">
        <v>6</v>
      </c>
      <c r="C40" s="110" t="s">
        <v>173</v>
      </c>
      <c r="D40" s="21"/>
      <c r="E40" s="21" t="s">
        <v>174</v>
      </c>
      <c r="F40" s="21" t="s">
        <v>175</v>
      </c>
      <c r="G40" s="10" t="s">
        <v>1</v>
      </c>
      <c r="H40" s="91"/>
      <c r="I40" s="91"/>
      <c r="J40" s="91"/>
      <c r="K40" s="91"/>
      <c r="L40" s="91" t="s">
        <v>48</v>
      </c>
      <c r="M40" s="91" t="s">
        <v>48</v>
      </c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12">
        <f t="shared" si="3"/>
        <v>2</v>
      </c>
      <c r="AM40" s="36">
        <v>550</v>
      </c>
      <c r="AN40" s="36">
        <f t="shared" si="4"/>
        <v>1100</v>
      </c>
    </row>
    <row r="41" spans="2:40" ht="16.05" customHeight="1" x14ac:dyDescent="0.3">
      <c r="B41" s="108">
        <v>7</v>
      </c>
      <c r="C41" s="173" t="s">
        <v>217</v>
      </c>
      <c r="D41" s="20"/>
      <c r="E41" s="21" t="s">
        <v>73</v>
      </c>
      <c r="F41" s="21" t="s">
        <v>218</v>
      </c>
      <c r="G41" s="10" t="s">
        <v>1</v>
      </c>
      <c r="H41" s="91"/>
      <c r="I41" s="91"/>
      <c r="J41" s="91"/>
      <c r="K41" s="91"/>
      <c r="L41" s="91"/>
      <c r="M41" s="91" t="s">
        <v>48</v>
      </c>
      <c r="N41" s="91" t="s">
        <v>48</v>
      </c>
      <c r="O41" s="91" t="s">
        <v>48</v>
      </c>
      <c r="P41" s="91" t="s">
        <v>48</v>
      </c>
      <c r="Q41" s="91" t="s">
        <v>48</v>
      </c>
      <c r="R41" s="91" t="s">
        <v>48</v>
      </c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12">
        <f t="shared" si="3"/>
        <v>6</v>
      </c>
      <c r="AM41" s="36">
        <v>550</v>
      </c>
      <c r="AN41" s="36">
        <f t="shared" si="4"/>
        <v>3300</v>
      </c>
    </row>
    <row r="42" spans="2:40" ht="16.05" customHeight="1" x14ac:dyDescent="0.3">
      <c r="B42" s="108">
        <v>8</v>
      </c>
      <c r="C42" s="112" t="s">
        <v>798</v>
      </c>
      <c r="D42" s="20"/>
      <c r="E42" s="21" t="s">
        <v>538</v>
      </c>
      <c r="F42" s="21" t="s">
        <v>539</v>
      </c>
      <c r="G42" s="10" t="s">
        <v>1</v>
      </c>
      <c r="H42" s="91"/>
      <c r="I42" s="91"/>
      <c r="J42" s="91"/>
      <c r="K42" s="91"/>
      <c r="L42" s="91"/>
      <c r="M42" s="91" t="s">
        <v>48</v>
      </c>
      <c r="N42" s="91" t="s">
        <v>48</v>
      </c>
      <c r="O42" s="91" t="s">
        <v>48</v>
      </c>
      <c r="P42" s="91" t="s">
        <v>48</v>
      </c>
      <c r="Q42" s="91" t="s">
        <v>48</v>
      </c>
      <c r="R42" s="91" t="s">
        <v>48</v>
      </c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12">
        <f t="shared" si="3"/>
        <v>6</v>
      </c>
      <c r="AM42" s="36">
        <v>550</v>
      </c>
      <c r="AN42" s="36">
        <f t="shared" si="4"/>
        <v>3300</v>
      </c>
    </row>
    <row r="43" spans="2:40" ht="16.05" customHeight="1" x14ac:dyDescent="0.3">
      <c r="B43" s="108">
        <v>9</v>
      </c>
      <c r="C43" s="110">
        <v>33700</v>
      </c>
      <c r="D43" s="20"/>
      <c r="E43" s="21" t="s">
        <v>402</v>
      </c>
      <c r="F43" s="21" t="s">
        <v>403</v>
      </c>
      <c r="G43" s="10" t="s">
        <v>1</v>
      </c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 t="s">
        <v>48</v>
      </c>
      <c r="AK43" s="100" t="s">
        <v>48</v>
      </c>
      <c r="AL43" s="12">
        <f t="shared" si="3"/>
        <v>2</v>
      </c>
      <c r="AM43" s="36">
        <v>550</v>
      </c>
      <c r="AN43" s="36">
        <f t="shared" si="4"/>
        <v>1100</v>
      </c>
    </row>
    <row r="44" spans="2:40" ht="16.05" customHeight="1" x14ac:dyDescent="0.3">
      <c r="B44" s="108">
        <v>10</v>
      </c>
      <c r="C44" s="110" t="s">
        <v>598</v>
      </c>
      <c r="D44" s="20"/>
      <c r="E44" s="21" t="s">
        <v>597</v>
      </c>
      <c r="F44" s="21" t="s">
        <v>302</v>
      </c>
      <c r="G44" s="10" t="s">
        <v>1</v>
      </c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 t="s">
        <v>48</v>
      </c>
      <c r="S44" s="91" t="s">
        <v>48</v>
      </c>
      <c r="T44" s="91" t="s">
        <v>48</v>
      </c>
      <c r="U44" s="91" t="s">
        <v>48</v>
      </c>
      <c r="V44" s="91" t="s">
        <v>48</v>
      </c>
      <c r="W44" s="91" t="s">
        <v>48</v>
      </c>
      <c r="X44" s="91" t="s">
        <v>48</v>
      </c>
      <c r="Y44" s="91" t="s">
        <v>290</v>
      </c>
      <c r="Z44" s="91"/>
      <c r="AA44" s="91"/>
      <c r="AB44" s="91" t="s">
        <v>48</v>
      </c>
      <c r="AC44" s="91" t="s">
        <v>48</v>
      </c>
      <c r="AD44" s="91"/>
      <c r="AE44" s="91"/>
      <c r="AF44" s="91"/>
      <c r="AG44" s="91"/>
      <c r="AH44" s="91"/>
      <c r="AI44" s="91"/>
      <c r="AJ44" s="91" t="s">
        <v>48</v>
      </c>
      <c r="AK44" s="91" t="s">
        <v>48</v>
      </c>
      <c r="AL44" s="12">
        <f t="shared" si="3"/>
        <v>12</v>
      </c>
      <c r="AM44" s="36">
        <v>550</v>
      </c>
      <c r="AN44" s="36">
        <f t="shared" si="4"/>
        <v>6600</v>
      </c>
    </row>
    <row r="45" spans="2:40" ht="16.05" customHeight="1" x14ac:dyDescent="0.3">
      <c r="B45" s="108">
        <v>11</v>
      </c>
      <c r="C45" s="10" t="s">
        <v>618</v>
      </c>
      <c r="D45" s="20"/>
      <c r="E45" s="20" t="s">
        <v>497</v>
      </c>
      <c r="F45" s="20" t="s">
        <v>369</v>
      </c>
      <c r="G45" s="10" t="s">
        <v>1</v>
      </c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 t="s">
        <v>48</v>
      </c>
      <c r="V45" s="91" t="s">
        <v>48</v>
      </c>
      <c r="W45" s="91" t="s">
        <v>48</v>
      </c>
      <c r="X45" s="91" t="s">
        <v>48</v>
      </c>
      <c r="Y45" s="91" t="s">
        <v>48</v>
      </c>
      <c r="Z45" s="91" t="s">
        <v>48</v>
      </c>
      <c r="AA45" s="91" t="s">
        <v>48</v>
      </c>
      <c r="AB45" s="91" t="s">
        <v>48</v>
      </c>
      <c r="AC45" s="91" t="s">
        <v>48</v>
      </c>
      <c r="AD45" s="91" t="s">
        <v>48</v>
      </c>
      <c r="AE45" s="91"/>
      <c r="AF45" s="91" t="s">
        <v>48</v>
      </c>
      <c r="AG45" s="91" t="s">
        <v>48</v>
      </c>
      <c r="AH45" s="91" t="s">
        <v>48</v>
      </c>
      <c r="AI45" s="91" t="s">
        <v>48</v>
      </c>
      <c r="AJ45" s="91"/>
      <c r="AK45" s="91" t="s">
        <v>48</v>
      </c>
      <c r="AL45" s="12">
        <f t="shared" si="3"/>
        <v>15</v>
      </c>
      <c r="AM45" s="36">
        <v>550</v>
      </c>
      <c r="AN45" s="36">
        <f t="shared" si="4"/>
        <v>8250</v>
      </c>
    </row>
    <row r="46" spans="2:40" ht="16.05" customHeight="1" x14ac:dyDescent="0.3">
      <c r="B46" s="108">
        <v>12</v>
      </c>
      <c r="C46" s="173" t="s">
        <v>627</v>
      </c>
      <c r="D46" s="20"/>
      <c r="E46" s="21" t="s">
        <v>243</v>
      </c>
      <c r="F46" s="21" t="s">
        <v>244</v>
      </c>
      <c r="G46" s="10" t="s">
        <v>1</v>
      </c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 t="s">
        <v>48</v>
      </c>
      <c r="W46" s="91" t="s">
        <v>48</v>
      </c>
      <c r="X46" s="91"/>
      <c r="Y46" s="91"/>
      <c r="Z46" s="91"/>
      <c r="AA46" s="91"/>
      <c r="AB46" s="91"/>
      <c r="AC46" s="91"/>
      <c r="AD46" s="91"/>
      <c r="AE46" s="91"/>
      <c r="AF46" s="91" t="s">
        <v>48</v>
      </c>
      <c r="AG46" s="91" t="s">
        <v>48</v>
      </c>
      <c r="AH46" s="91"/>
      <c r="AI46" s="91"/>
      <c r="AJ46" s="91"/>
      <c r="AK46" s="91"/>
      <c r="AL46" s="12">
        <f t="shared" si="3"/>
        <v>4</v>
      </c>
      <c r="AM46" s="36">
        <v>550</v>
      </c>
      <c r="AN46" s="36">
        <f t="shared" si="4"/>
        <v>2200</v>
      </c>
    </row>
    <row r="47" spans="2:40" ht="16.05" customHeight="1" x14ac:dyDescent="0.3">
      <c r="B47" s="108">
        <v>13</v>
      </c>
      <c r="C47" s="10" t="s">
        <v>654</v>
      </c>
      <c r="D47" s="20"/>
      <c r="E47" s="20" t="s">
        <v>428</v>
      </c>
      <c r="F47" s="20" t="s">
        <v>555</v>
      </c>
      <c r="G47" s="10" t="s">
        <v>1</v>
      </c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 t="s">
        <v>48</v>
      </c>
      <c r="Z47" s="91" t="s">
        <v>48</v>
      </c>
      <c r="AA47" s="91" t="s">
        <v>48</v>
      </c>
      <c r="AB47" s="91" t="s">
        <v>48</v>
      </c>
      <c r="AC47" s="91" t="s">
        <v>48</v>
      </c>
      <c r="AD47" s="91" t="s">
        <v>48</v>
      </c>
      <c r="AE47" s="91" t="s">
        <v>48</v>
      </c>
      <c r="AF47" s="91" t="s">
        <v>48</v>
      </c>
      <c r="AG47" s="91" t="s">
        <v>48</v>
      </c>
      <c r="AH47" s="91" t="s">
        <v>48</v>
      </c>
      <c r="AI47" s="91"/>
      <c r="AJ47" s="91"/>
      <c r="AK47" s="91"/>
      <c r="AL47" s="12">
        <f t="shared" si="3"/>
        <v>10</v>
      </c>
      <c r="AM47" s="36">
        <v>550</v>
      </c>
      <c r="AN47" s="36">
        <f t="shared" si="4"/>
        <v>5500</v>
      </c>
    </row>
    <row r="48" spans="2:40" ht="16.05" customHeight="1" x14ac:dyDescent="0.3">
      <c r="B48" s="108">
        <v>14</v>
      </c>
      <c r="C48" s="10">
        <v>33982</v>
      </c>
      <c r="D48" s="20"/>
      <c r="E48" s="20" t="s">
        <v>278</v>
      </c>
      <c r="F48" s="20" t="s">
        <v>279</v>
      </c>
      <c r="G48" s="10" t="s">
        <v>1</v>
      </c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 t="s">
        <v>48</v>
      </c>
      <c r="AA48" s="91" t="s">
        <v>48</v>
      </c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12">
        <f t="shared" si="3"/>
        <v>2</v>
      </c>
      <c r="AM48" s="36">
        <v>550</v>
      </c>
      <c r="AN48" s="36">
        <f t="shared" si="4"/>
        <v>1100</v>
      </c>
    </row>
    <row r="49" spans="2:40" ht="16.05" customHeight="1" x14ac:dyDescent="0.3">
      <c r="B49" s="108">
        <v>15</v>
      </c>
      <c r="C49" s="10">
        <v>34773</v>
      </c>
      <c r="D49" s="20"/>
      <c r="E49" s="20" t="s">
        <v>149</v>
      </c>
      <c r="F49" s="20" t="s">
        <v>633</v>
      </c>
      <c r="G49" s="10" t="s">
        <v>1</v>
      </c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 t="s">
        <v>48</v>
      </c>
      <c r="AE49" s="91" t="s">
        <v>48</v>
      </c>
      <c r="AF49" s="91"/>
      <c r="AG49" s="91"/>
      <c r="AH49" s="91"/>
      <c r="AI49" s="91"/>
      <c r="AJ49" s="91"/>
      <c r="AK49" s="91"/>
      <c r="AL49" s="12">
        <f t="shared" si="3"/>
        <v>2</v>
      </c>
      <c r="AM49" s="36">
        <v>550</v>
      </c>
      <c r="AN49" s="36">
        <f t="shared" si="4"/>
        <v>1100</v>
      </c>
    </row>
    <row r="50" spans="2:40" ht="16.05" customHeight="1" x14ac:dyDescent="0.3">
      <c r="B50" s="108">
        <v>16</v>
      </c>
      <c r="C50" s="173">
        <v>33694</v>
      </c>
      <c r="D50" s="20"/>
      <c r="E50" s="21" t="s">
        <v>771</v>
      </c>
      <c r="F50" s="21" t="s">
        <v>232</v>
      </c>
      <c r="G50" s="10" t="s">
        <v>1</v>
      </c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 t="s">
        <v>48</v>
      </c>
      <c r="AG50" s="91" t="s">
        <v>48</v>
      </c>
      <c r="AH50" s="91" t="s">
        <v>48</v>
      </c>
      <c r="AI50" s="91" t="s">
        <v>48</v>
      </c>
      <c r="AJ50" s="91"/>
      <c r="AK50" s="91"/>
      <c r="AL50" s="12">
        <f t="shared" si="3"/>
        <v>4</v>
      </c>
      <c r="AM50" s="36">
        <v>550</v>
      </c>
      <c r="AN50" s="36">
        <f t="shared" si="4"/>
        <v>2200</v>
      </c>
    </row>
    <row r="51" spans="2:40" ht="16.05" customHeight="1" x14ac:dyDescent="0.3">
      <c r="B51" s="108">
        <v>17</v>
      </c>
      <c r="C51" s="110">
        <v>34300</v>
      </c>
      <c r="D51" s="20"/>
      <c r="E51" s="21" t="s">
        <v>701</v>
      </c>
      <c r="F51" s="21" t="s">
        <v>702</v>
      </c>
      <c r="G51" s="10" t="s">
        <v>1</v>
      </c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 t="s">
        <v>48</v>
      </c>
      <c r="AG51" s="91" t="s">
        <v>48</v>
      </c>
      <c r="AH51" s="91"/>
      <c r="AI51" s="91"/>
      <c r="AJ51" s="91"/>
      <c r="AK51" s="91"/>
      <c r="AL51" s="12">
        <f t="shared" si="3"/>
        <v>2</v>
      </c>
      <c r="AM51" s="36">
        <v>550</v>
      </c>
      <c r="AN51" s="36">
        <f t="shared" si="4"/>
        <v>1100</v>
      </c>
    </row>
    <row r="52" spans="2:40" ht="16.05" customHeight="1" x14ac:dyDescent="0.3">
      <c r="B52" s="108">
        <v>18</v>
      </c>
      <c r="C52" s="173">
        <v>33504</v>
      </c>
      <c r="D52" s="20"/>
      <c r="E52" s="21" t="s">
        <v>229</v>
      </c>
      <c r="F52" s="21" t="s">
        <v>93</v>
      </c>
      <c r="G52" s="10" t="s">
        <v>1</v>
      </c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 t="s">
        <v>48</v>
      </c>
      <c r="AH52" s="91" t="s">
        <v>48</v>
      </c>
      <c r="AI52" s="91" t="s">
        <v>48</v>
      </c>
      <c r="AJ52" s="91" t="s">
        <v>48</v>
      </c>
      <c r="AK52" s="91" t="s">
        <v>48</v>
      </c>
      <c r="AL52" s="12">
        <f t="shared" si="3"/>
        <v>5</v>
      </c>
      <c r="AM52" s="36">
        <v>550</v>
      </c>
      <c r="AN52" s="36">
        <f t="shared" si="4"/>
        <v>2750</v>
      </c>
    </row>
    <row r="53" spans="2:40" ht="16.05" customHeight="1" x14ac:dyDescent="0.3">
      <c r="B53" s="108">
        <v>19</v>
      </c>
      <c r="C53" s="10">
        <v>34557</v>
      </c>
      <c r="D53" s="20"/>
      <c r="E53" s="20" t="s">
        <v>709</v>
      </c>
      <c r="F53" s="20" t="s">
        <v>641</v>
      </c>
      <c r="G53" s="10" t="s">
        <v>1</v>
      </c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 t="s">
        <v>48</v>
      </c>
      <c r="AH53" s="91" t="s">
        <v>48</v>
      </c>
      <c r="AI53" s="91" t="s">
        <v>48</v>
      </c>
      <c r="AJ53" s="91" t="s">
        <v>48</v>
      </c>
      <c r="AK53" s="91" t="s">
        <v>48</v>
      </c>
      <c r="AL53" s="12">
        <f t="shared" si="3"/>
        <v>5</v>
      </c>
      <c r="AM53" s="36">
        <v>550</v>
      </c>
      <c r="AN53" s="36">
        <f t="shared" si="4"/>
        <v>2750</v>
      </c>
    </row>
    <row r="54" spans="2:40" ht="16.05" customHeight="1" x14ac:dyDescent="0.3">
      <c r="B54" s="108">
        <v>20</v>
      </c>
      <c r="C54" s="10">
        <v>34166</v>
      </c>
      <c r="D54" s="20"/>
      <c r="E54" s="20" t="s">
        <v>773</v>
      </c>
      <c r="F54" s="20" t="s">
        <v>213</v>
      </c>
      <c r="G54" s="10" t="s">
        <v>1</v>
      </c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 t="s">
        <v>48</v>
      </c>
      <c r="AI54" s="91" t="s">
        <v>48</v>
      </c>
      <c r="AJ54" s="91"/>
      <c r="AK54" s="91"/>
      <c r="AL54" s="12">
        <f t="shared" si="3"/>
        <v>2</v>
      </c>
      <c r="AM54" s="36">
        <v>550</v>
      </c>
      <c r="AN54" s="36">
        <f t="shared" si="4"/>
        <v>1100</v>
      </c>
    </row>
    <row r="55" spans="2:40" ht="16.05" customHeight="1" x14ac:dyDescent="0.3">
      <c r="B55" s="108">
        <v>21</v>
      </c>
      <c r="C55" s="10">
        <v>34184</v>
      </c>
      <c r="D55" s="20"/>
      <c r="E55" s="20" t="s">
        <v>229</v>
      </c>
      <c r="F55" s="20" t="s">
        <v>45</v>
      </c>
      <c r="G55" s="10" t="s">
        <v>1</v>
      </c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 t="s">
        <v>48</v>
      </c>
      <c r="AI55" s="91" t="s">
        <v>48</v>
      </c>
      <c r="AJ55" s="91"/>
      <c r="AK55" s="91"/>
      <c r="AL55" s="12">
        <f t="shared" si="3"/>
        <v>2</v>
      </c>
      <c r="AM55" s="36">
        <v>550</v>
      </c>
      <c r="AN55" s="36">
        <f t="shared" si="4"/>
        <v>1100</v>
      </c>
    </row>
    <row r="56" spans="2:40" ht="16.05" customHeight="1" x14ac:dyDescent="0.3">
      <c r="B56" s="128" t="s">
        <v>15</v>
      </c>
      <c r="C56" s="128"/>
      <c r="D56" s="128"/>
      <c r="E56" s="128"/>
      <c r="F56" s="128"/>
      <c r="G56" s="128"/>
      <c r="H56" s="12">
        <f>COUNTIF(H35:H55,"P")+COUNTIF(H35:H55,"PP")+COUNTIF(H35:H55,"PP")</f>
        <v>0</v>
      </c>
      <c r="I56" s="12">
        <f>COUNTIF(I35:I55,"P")+COUNTIF(I35:I55,"PP")+COUNTIF(I35:I55,"PP")</f>
        <v>0</v>
      </c>
      <c r="J56" s="12">
        <f>COUNTIF(J35:J55,"P")+COUNTIF(J35:J55,"PP")+COUNTIF(J35:J55,"PP")</f>
        <v>0</v>
      </c>
      <c r="K56" s="12">
        <f>COUNTIF(K35:K55,"P")+COUNTIF(K35:K55,"PP")+COUNTIF(K35:K55,"PP")</f>
        <v>3</v>
      </c>
      <c r="L56" s="12">
        <f>COUNTIF(L35:L55,"P")+COUNTIF(L35:L55,"PP")+COUNTIF(L35:L55,"PP")</f>
        <v>5</v>
      </c>
      <c r="M56" s="12">
        <f>COUNTIF(M35:M55,"P")+COUNTIF(M35:M55,"PP")+COUNTIF(M35:M55,"PP")</f>
        <v>4</v>
      </c>
      <c r="N56" s="12">
        <f>COUNTIF(N35:N55,"P")+COUNTIF(N35:N55,"PP")+COUNTIF(N35:N55,"PP")</f>
        <v>4</v>
      </c>
      <c r="O56" s="12">
        <f>COUNTIF(O35:O55,"P")+COUNTIF(O35:O55,"PP")+COUNTIF(O35:O55,"PP")</f>
        <v>4</v>
      </c>
      <c r="P56" s="12">
        <f>COUNTIF(P35:P55,"P")+COUNTIF(P35:P55,"PP")+COUNTIF(P35:P55,"PP")</f>
        <v>2</v>
      </c>
      <c r="Q56" s="12">
        <f>COUNTIF(Q35:Q55,"P")+COUNTIF(Q35:Q55,"PP")+COUNTIF(Q35:Q55,"PP")</f>
        <v>2</v>
      </c>
      <c r="R56" s="12">
        <f>COUNTIF(R35:R55,"P")+COUNTIF(R35:R55,"PP")+COUNTIF(R35:R55,"PP")</f>
        <v>3</v>
      </c>
      <c r="S56" s="12">
        <f>COUNTIF(S35:S55,"P")+COUNTIF(S35:S55,"PP")+COUNTIF(S35:S55,"PP")</f>
        <v>1</v>
      </c>
      <c r="T56" s="12">
        <f>COUNTIF(T35:T55,"P")+COUNTIF(T35:T55,"PP")+COUNTIF(T35:T55,"PP")</f>
        <v>1</v>
      </c>
      <c r="U56" s="12">
        <f>COUNTIF(U35:U55,"P")+COUNTIF(U35:U55,"PP")+COUNTIF(U35:U55,"PP")</f>
        <v>2</v>
      </c>
      <c r="V56" s="12">
        <f>COUNTIF(V35:V55,"P")+COUNTIF(V35:V55,"PP")+COUNTIF(V35:V55,"PP")</f>
        <v>3</v>
      </c>
      <c r="W56" s="12">
        <f>COUNTIF(W35:W55,"P")+COUNTIF(W35:W55,"PP")+COUNTIF(W35:W55,"PP")</f>
        <v>3</v>
      </c>
      <c r="X56" s="12">
        <f>COUNTIF(X35:X55,"P")+COUNTIF(X35:X55,"PP")+COUNTIF(X35:X55,"PP")</f>
        <v>2</v>
      </c>
      <c r="Y56" s="12">
        <f>COUNTIF(Y35:Y55,"P")+COUNTIF(Y35:Y55,"PP")+COUNTIF(Y35:Y55,"PP")</f>
        <v>3</v>
      </c>
      <c r="Z56" s="12">
        <f>COUNTIF(Z35:Z55,"P")+COUNTIF(Z35:Z55,"PP")+COUNTIF(Z35:Z55,"PP")</f>
        <v>3</v>
      </c>
      <c r="AA56" s="12">
        <f>COUNTIF(AA35:AA55,"P")+COUNTIF(AA35:AA55,"PP")+COUNTIF(AA35:AA55,"PP")</f>
        <v>3</v>
      </c>
      <c r="AB56" s="12">
        <f>COUNTIF(AB35:AB55,"P")+COUNTIF(AB35:AB55,"PP")+COUNTIF(AB35:AB55,"PP")</f>
        <v>3</v>
      </c>
      <c r="AC56" s="12">
        <f>COUNTIF(AC35:AC55,"P")+COUNTIF(AC35:AC55,"PP")+COUNTIF(AC35:AC55,"PP")</f>
        <v>3</v>
      </c>
      <c r="AD56" s="12">
        <f>COUNTIF(AD35:AD55,"P")+COUNTIF(AD35:AD55,"PP")+COUNTIF(AD35:AD55,"PP")</f>
        <v>3</v>
      </c>
      <c r="AE56" s="12">
        <f>COUNTIF(AE35:AE55,"P")+COUNTIF(AE35:AE55,"PP")+COUNTIF(AE35:AE55,"PP")</f>
        <v>2</v>
      </c>
      <c r="AF56" s="12">
        <f>COUNTIF(AF35:AF55,"P")+COUNTIF(AF35:AF55,"PP")+COUNTIF(AF35:AF55,"PP")</f>
        <v>5</v>
      </c>
      <c r="AG56" s="12">
        <f>COUNTIF(AG35:AG55,"P")+COUNTIF(AG35:AG55,"PP")+COUNTIF(AG35:AG55,"PP")</f>
        <v>7</v>
      </c>
      <c r="AH56" s="12">
        <f>COUNTIF(AH35:AH55,"P")+COUNTIF(AH35:AH55,"PP")+COUNTIF(AH35:AH55,"PP")</f>
        <v>7</v>
      </c>
      <c r="AI56" s="12">
        <f>COUNTIF(AI35:AI55,"P")+COUNTIF(AI35:AI55,"PP")+COUNTIF(AI35:AI55,"PP")</f>
        <v>6</v>
      </c>
      <c r="AJ56" s="12">
        <f>COUNTIF(AJ35:AJ55,"P")+COUNTIF(AJ35:AJ55,"PP")+COUNTIF(AJ35:AJ55,"PP")</f>
        <v>4</v>
      </c>
      <c r="AK56" s="12">
        <f>COUNTIF(AK35:AK55,"P")+COUNTIF(AK35:AK55,"PP")+COUNTIF(AK35:AK55,"PP")</f>
        <v>5</v>
      </c>
      <c r="AL56" s="28">
        <f>SUM(AL35:AL55)</f>
        <v>93</v>
      </c>
      <c r="AN56" s="37">
        <f>SUM(AN35:AN55)</f>
        <v>51250</v>
      </c>
    </row>
    <row r="59" spans="2:40" ht="18" customHeight="1" x14ac:dyDescent="0.3">
      <c r="B59" s="134" t="s">
        <v>477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41">
        <f>AN29+AN56</f>
        <v>155450</v>
      </c>
    </row>
  </sheetData>
  <mergeCells count="11">
    <mergeCell ref="B59:AM59"/>
    <mergeCell ref="B56:G56"/>
    <mergeCell ref="B2:AL2"/>
    <mergeCell ref="AM2:AM4"/>
    <mergeCell ref="AN2:AN4"/>
    <mergeCell ref="B3:AL3"/>
    <mergeCell ref="B29:G29"/>
    <mergeCell ref="B32:AL32"/>
    <mergeCell ref="AM32:AM34"/>
    <mergeCell ref="AN32:AN34"/>
    <mergeCell ref="B33:AL33"/>
  </mergeCells>
  <conditionalFormatting sqref="C5:F5">
    <cfRule type="duplicateValues" dxfId="55" priority="21"/>
  </conditionalFormatting>
  <conditionalFormatting sqref="C3">
    <cfRule type="duplicateValues" dxfId="54" priority="38"/>
  </conditionalFormatting>
  <conditionalFormatting sqref="C4">
    <cfRule type="duplicateValues" dxfId="53" priority="39"/>
  </conditionalFormatting>
  <conditionalFormatting sqref="C6:F7">
    <cfRule type="duplicateValues" dxfId="52" priority="35"/>
  </conditionalFormatting>
  <conditionalFormatting sqref="C9:F9">
    <cfRule type="duplicateValues" dxfId="51" priority="27"/>
  </conditionalFormatting>
  <conditionalFormatting sqref="C10:F10">
    <cfRule type="duplicateValues" dxfId="50" priority="31"/>
  </conditionalFormatting>
  <conditionalFormatting sqref="C11:F11">
    <cfRule type="duplicateValues" dxfId="49" priority="34"/>
  </conditionalFormatting>
  <conditionalFormatting sqref="C12:F12">
    <cfRule type="duplicateValues" dxfId="48" priority="33"/>
  </conditionalFormatting>
  <conditionalFormatting sqref="C13:F13">
    <cfRule type="duplicateValues" dxfId="47" priority="30"/>
  </conditionalFormatting>
  <conditionalFormatting sqref="C14:F14">
    <cfRule type="duplicateValues" dxfId="46" priority="32"/>
  </conditionalFormatting>
  <conditionalFormatting sqref="C15:F19">
    <cfRule type="duplicateValues" dxfId="45" priority="28"/>
  </conditionalFormatting>
  <conditionalFormatting sqref="C20:F20">
    <cfRule type="duplicateValues" dxfId="44" priority="29"/>
  </conditionalFormatting>
  <conditionalFormatting sqref="C21:F21">
    <cfRule type="duplicateValues" dxfId="43" priority="26"/>
  </conditionalFormatting>
  <conditionalFormatting sqref="C28:F28">
    <cfRule type="duplicateValues" dxfId="42" priority="25"/>
  </conditionalFormatting>
  <conditionalFormatting sqref="H3:AK4 H6:AK28 J5:AK5 H36:AK55">
    <cfRule type="cellIs" dxfId="41" priority="37" operator="equal">
      <formula>"a"</formula>
    </cfRule>
  </conditionalFormatting>
  <conditionalFormatting sqref="C6:C7 C9:C28">
    <cfRule type="duplicateValues" dxfId="40" priority="40"/>
  </conditionalFormatting>
  <conditionalFormatting sqref="C22:F27">
    <cfRule type="duplicateValues" dxfId="39" priority="41"/>
  </conditionalFormatting>
  <conditionalFormatting sqref="C8:F8">
    <cfRule type="duplicateValues" dxfId="38" priority="24"/>
  </conditionalFormatting>
  <conditionalFormatting sqref="H5:I5">
    <cfRule type="cellIs" dxfId="37" priority="22" operator="equal">
      <formula>"a"</formula>
    </cfRule>
  </conditionalFormatting>
  <conditionalFormatting sqref="C5">
    <cfRule type="duplicateValues" dxfId="36" priority="23"/>
  </conditionalFormatting>
  <conditionalFormatting sqref="C35:F35">
    <cfRule type="duplicateValues" dxfId="35" priority="1"/>
  </conditionalFormatting>
  <conditionalFormatting sqref="C33">
    <cfRule type="duplicateValues" dxfId="34" priority="17"/>
  </conditionalFormatting>
  <conditionalFormatting sqref="C34">
    <cfRule type="duplicateValues" dxfId="33" priority="18"/>
  </conditionalFormatting>
  <conditionalFormatting sqref="C36:F36">
    <cfRule type="duplicateValues" dxfId="32" priority="15"/>
  </conditionalFormatting>
  <conditionalFormatting sqref="C38:F38">
    <cfRule type="duplicateValues" dxfId="31" priority="7"/>
  </conditionalFormatting>
  <conditionalFormatting sqref="C39:F39">
    <cfRule type="duplicateValues" dxfId="30" priority="11"/>
  </conditionalFormatting>
  <conditionalFormatting sqref="C40:F40">
    <cfRule type="duplicateValues" dxfId="29" priority="14"/>
  </conditionalFormatting>
  <conditionalFormatting sqref="C41:F41">
    <cfRule type="duplicateValues" dxfId="28" priority="13"/>
  </conditionalFormatting>
  <conditionalFormatting sqref="C42:F42">
    <cfRule type="duplicateValues" dxfId="27" priority="10"/>
  </conditionalFormatting>
  <conditionalFormatting sqref="C44:F46">
    <cfRule type="duplicateValues" dxfId="26" priority="8"/>
  </conditionalFormatting>
  <conditionalFormatting sqref="C47:F47">
    <cfRule type="duplicateValues" dxfId="25" priority="9"/>
  </conditionalFormatting>
  <conditionalFormatting sqref="C48:F48">
    <cfRule type="duplicateValues" dxfId="24" priority="6"/>
  </conditionalFormatting>
  <conditionalFormatting sqref="C55:F55">
    <cfRule type="duplicateValues" dxfId="23" priority="5"/>
  </conditionalFormatting>
  <conditionalFormatting sqref="H33:AK34 J35:AK35">
    <cfRule type="cellIs" dxfId="22" priority="16" operator="equal">
      <formula>"a"</formula>
    </cfRule>
  </conditionalFormatting>
  <conditionalFormatting sqref="C49:F54">
    <cfRule type="duplicateValues" dxfId="21" priority="20"/>
  </conditionalFormatting>
  <conditionalFormatting sqref="C37:F37">
    <cfRule type="duplicateValues" dxfId="20" priority="4"/>
  </conditionalFormatting>
  <conditionalFormatting sqref="H35:I35">
    <cfRule type="cellIs" dxfId="19" priority="2" operator="equal">
      <formula>"a"</formula>
    </cfRule>
  </conditionalFormatting>
  <conditionalFormatting sqref="C35">
    <cfRule type="duplicateValues" dxfId="18" priority="3"/>
  </conditionalFormatting>
  <conditionalFormatting sqref="C43:F43">
    <cfRule type="duplicateValues" dxfId="17" priority="1962"/>
  </conditionalFormatting>
  <conditionalFormatting sqref="C36 C38:C55">
    <cfRule type="duplicateValues" dxfId="16" priority="1965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2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B15" sqref="AB15"/>
    </sheetView>
  </sheetViews>
  <sheetFormatPr defaultRowHeight="14.4" x14ac:dyDescent="0.3"/>
  <cols>
    <col min="1" max="1" width="3.109375" customWidth="1"/>
    <col min="2" max="2" width="5.33203125" customWidth="1"/>
    <col min="3" max="3" width="7.5546875" style="1" customWidth="1"/>
    <col min="4" max="4" width="6.88671875" customWidth="1"/>
    <col min="5" max="6" width="17.33203125" style="23" customWidth="1"/>
    <col min="7" max="7" width="5.5546875" customWidth="1"/>
    <col min="8" max="38" width="3.6640625" style="18" customWidth="1"/>
    <col min="39" max="39" width="5.44140625" customWidth="1"/>
    <col min="41" max="41" width="11.5546875" customWidth="1"/>
  </cols>
  <sheetData>
    <row r="2" spans="2:41" ht="22.8" x14ac:dyDescent="0.3">
      <c r="B2" s="124" t="s">
        <v>14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6"/>
      <c r="AN2" s="129" t="s">
        <v>471</v>
      </c>
      <c r="AO2" s="129" t="s">
        <v>473</v>
      </c>
    </row>
    <row r="3" spans="2:41" ht="18" customHeight="1" x14ac:dyDescent="0.3">
      <c r="B3" s="136" t="s">
        <v>796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29"/>
      <c r="AO3" s="129"/>
    </row>
    <row r="4" spans="2:41" ht="18" customHeight="1" x14ac:dyDescent="0.3">
      <c r="B4" s="47" t="s">
        <v>5</v>
      </c>
      <c r="C4" s="46" t="s">
        <v>2</v>
      </c>
      <c r="D4" s="47" t="s">
        <v>16</v>
      </c>
      <c r="E4" s="47" t="s">
        <v>3</v>
      </c>
      <c r="F4" s="47" t="s">
        <v>4</v>
      </c>
      <c r="G4" s="47" t="s">
        <v>7</v>
      </c>
      <c r="H4" s="46">
        <v>1</v>
      </c>
      <c r="I4" s="46">
        <v>2</v>
      </c>
      <c r="J4" s="46">
        <v>3</v>
      </c>
      <c r="K4" s="46">
        <v>4</v>
      </c>
      <c r="L4" s="46">
        <v>5</v>
      </c>
      <c r="M4" s="46">
        <v>6</v>
      </c>
      <c r="N4" s="46">
        <v>7</v>
      </c>
      <c r="O4" s="46">
        <v>8</v>
      </c>
      <c r="P4" s="46">
        <v>9</v>
      </c>
      <c r="Q4" s="46">
        <v>10</v>
      </c>
      <c r="R4" s="46">
        <v>11</v>
      </c>
      <c r="S4" s="46">
        <v>12</v>
      </c>
      <c r="T4" s="46">
        <v>13</v>
      </c>
      <c r="U4" s="46">
        <v>14</v>
      </c>
      <c r="V4" s="46">
        <v>15</v>
      </c>
      <c r="W4" s="46">
        <v>16</v>
      </c>
      <c r="X4" s="46">
        <v>17</v>
      </c>
      <c r="Y4" s="46">
        <v>18</v>
      </c>
      <c r="Z4" s="46">
        <v>19</v>
      </c>
      <c r="AA4" s="46">
        <v>20</v>
      </c>
      <c r="AB4" s="46">
        <v>21</v>
      </c>
      <c r="AC4" s="46">
        <v>22</v>
      </c>
      <c r="AD4" s="46">
        <v>23</v>
      </c>
      <c r="AE4" s="46">
        <v>24</v>
      </c>
      <c r="AF4" s="46">
        <v>25</v>
      </c>
      <c r="AG4" s="46">
        <v>26</v>
      </c>
      <c r="AH4" s="46">
        <v>27</v>
      </c>
      <c r="AI4" s="46">
        <v>28</v>
      </c>
      <c r="AJ4" s="46">
        <v>29</v>
      </c>
      <c r="AK4" s="46">
        <v>30</v>
      </c>
      <c r="AL4" s="46">
        <v>31</v>
      </c>
      <c r="AM4" s="48" t="s">
        <v>6</v>
      </c>
      <c r="AN4" s="129"/>
      <c r="AO4" s="129"/>
    </row>
    <row r="5" spans="2:41" s="23" customFormat="1" ht="16.2" customHeight="1" x14ac:dyDescent="0.3">
      <c r="B5" s="73">
        <v>1</v>
      </c>
      <c r="C5" s="176">
        <v>33577</v>
      </c>
      <c r="D5" s="20"/>
      <c r="E5" s="20" t="s">
        <v>282</v>
      </c>
      <c r="F5" s="20" t="s">
        <v>78</v>
      </c>
      <c r="G5" s="11" t="s">
        <v>0</v>
      </c>
      <c r="H5" s="9"/>
      <c r="I5" s="9"/>
      <c r="J5" s="9"/>
      <c r="K5" s="9" t="s">
        <v>48</v>
      </c>
      <c r="L5" s="9" t="s">
        <v>48</v>
      </c>
      <c r="M5" s="9" t="s">
        <v>48</v>
      </c>
      <c r="N5" s="9" t="s">
        <v>48</v>
      </c>
      <c r="O5" s="9"/>
      <c r="P5" s="9"/>
      <c r="Q5" s="9"/>
      <c r="R5" s="9" t="s">
        <v>48</v>
      </c>
      <c r="S5" s="9" t="s">
        <v>48</v>
      </c>
      <c r="T5" s="9" t="s">
        <v>48</v>
      </c>
      <c r="U5" s="9" t="s">
        <v>48</v>
      </c>
      <c r="V5" s="9"/>
      <c r="W5" s="9"/>
      <c r="X5" s="9"/>
      <c r="Y5" s="9" t="s">
        <v>290</v>
      </c>
      <c r="Z5" s="9" t="s">
        <v>290</v>
      </c>
      <c r="AA5" s="9" t="s">
        <v>290</v>
      </c>
      <c r="AB5" s="9" t="s">
        <v>290</v>
      </c>
      <c r="AC5" s="9"/>
      <c r="AD5" s="9"/>
      <c r="AE5" s="9"/>
      <c r="AF5" s="9" t="s">
        <v>48</v>
      </c>
      <c r="AG5" s="9" t="s">
        <v>48</v>
      </c>
      <c r="AH5" s="9" t="s">
        <v>48</v>
      </c>
      <c r="AI5" s="9" t="s">
        <v>48</v>
      </c>
      <c r="AJ5" s="9"/>
      <c r="AK5" s="9"/>
      <c r="AL5" s="9"/>
      <c r="AM5" s="38">
        <f t="shared" ref="AM5:AM24" si="0">COUNTIF(I5:AL5,"p")+COUNTIF(I5:AL5,"pp")+COUNTIF(I5:AL5,"pp")</f>
        <v>16</v>
      </c>
      <c r="AN5" s="36">
        <v>600</v>
      </c>
      <c r="AO5" s="36">
        <f>AM5*AN5</f>
        <v>9600</v>
      </c>
    </row>
    <row r="6" spans="2:41" s="23" customFormat="1" ht="16.2" customHeight="1" x14ac:dyDescent="0.3">
      <c r="B6" s="73">
        <v>2</v>
      </c>
      <c r="C6" s="10">
        <v>33793</v>
      </c>
      <c r="D6" s="20"/>
      <c r="E6" s="20" t="s">
        <v>188</v>
      </c>
      <c r="F6" s="20" t="s">
        <v>189</v>
      </c>
      <c r="G6" s="10" t="s">
        <v>1</v>
      </c>
      <c r="H6" s="9"/>
      <c r="I6" s="9"/>
      <c r="J6" s="9"/>
      <c r="K6" s="9" t="s">
        <v>48</v>
      </c>
      <c r="L6" s="9" t="s">
        <v>48</v>
      </c>
      <c r="M6" s="9" t="s">
        <v>48</v>
      </c>
      <c r="N6" s="9" t="s">
        <v>48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38">
        <f t="shared" si="0"/>
        <v>4</v>
      </c>
      <c r="AN6" s="36">
        <v>550</v>
      </c>
      <c r="AO6" s="36">
        <f t="shared" ref="AO6:AO24" si="1">AM6*AN6</f>
        <v>2200</v>
      </c>
    </row>
    <row r="7" spans="2:41" s="23" customFormat="1" ht="16.2" customHeight="1" x14ac:dyDescent="0.3">
      <c r="B7" s="73">
        <v>3</v>
      </c>
      <c r="C7" s="10">
        <v>33868</v>
      </c>
      <c r="D7" s="20"/>
      <c r="E7" s="20" t="s">
        <v>177</v>
      </c>
      <c r="F7" s="20" t="s">
        <v>178</v>
      </c>
      <c r="G7" s="10" t="s">
        <v>1</v>
      </c>
      <c r="H7" s="9"/>
      <c r="I7" s="9"/>
      <c r="J7" s="9"/>
      <c r="K7" s="9" t="s">
        <v>48</v>
      </c>
      <c r="L7" s="9" t="s">
        <v>48</v>
      </c>
      <c r="M7" s="9" t="s">
        <v>48</v>
      </c>
      <c r="N7" s="9" t="s">
        <v>48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38">
        <f t="shared" si="0"/>
        <v>4</v>
      </c>
      <c r="AN7" s="36">
        <v>550</v>
      </c>
      <c r="AO7" s="36">
        <f t="shared" si="1"/>
        <v>2200</v>
      </c>
    </row>
    <row r="8" spans="2:41" s="23" customFormat="1" ht="16.2" customHeight="1" x14ac:dyDescent="0.3">
      <c r="B8" s="73">
        <v>4</v>
      </c>
      <c r="C8" s="173" t="s">
        <v>219</v>
      </c>
      <c r="D8" s="20"/>
      <c r="E8" s="42" t="s">
        <v>220</v>
      </c>
      <c r="F8" s="42" t="s">
        <v>218</v>
      </c>
      <c r="G8" s="10" t="s">
        <v>1</v>
      </c>
      <c r="H8" s="9"/>
      <c r="I8" s="9"/>
      <c r="J8" s="9"/>
      <c r="K8" s="9" t="s">
        <v>48</v>
      </c>
      <c r="L8" s="9" t="s">
        <v>48</v>
      </c>
      <c r="M8" s="9" t="s">
        <v>48</v>
      </c>
      <c r="N8" s="9" t="s">
        <v>48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38">
        <f t="shared" si="0"/>
        <v>4</v>
      </c>
      <c r="AN8" s="36">
        <v>550</v>
      </c>
      <c r="AO8" s="36">
        <f t="shared" si="1"/>
        <v>2200</v>
      </c>
    </row>
    <row r="9" spans="2:41" s="23" customFormat="1" ht="16.2" customHeight="1" x14ac:dyDescent="0.3">
      <c r="B9" s="73">
        <v>5</v>
      </c>
      <c r="C9" s="110" t="s">
        <v>236</v>
      </c>
      <c r="D9" s="20"/>
      <c r="E9" s="42" t="s">
        <v>237</v>
      </c>
      <c r="F9" s="42" t="s">
        <v>238</v>
      </c>
      <c r="G9" s="10" t="s">
        <v>1</v>
      </c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 t="s">
        <v>290</v>
      </c>
      <c r="Z9" s="92" t="s">
        <v>290</v>
      </c>
      <c r="AA9" s="92" t="s">
        <v>290</v>
      </c>
      <c r="AB9" s="92" t="s">
        <v>290</v>
      </c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38">
        <f t="shared" si="0"/>
        <v>4</v>
      </c>
      <c r="AN9" s="36">
        <v>550</v>
      </c>
      <c r="AO9" s="36">
        <f t="shared" si="1"/>
        <v>2200</v>
      </c>
    </row>
    <row r="10" spans="2:41" s="23" customFormat="1" ht="16.2" customHeight="1" x14ac:dyDescent="0.3">
      <c r="B10" s="73">
        <v>6</v>
      </c>
      <c r="C10" s="110" t="s">
        <v>84</v>
      </c>
      <c r="D10" s="20"/>
      <c r="E10" s="42" t="s">
        <v>93</v>
      </c>
      <c r="F10" s="42" t="s">
        <v>94</v>
      </c>
      <c r="G10" s="10" t="s">
        <v>1</v>
      </c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 t="s">
        <v>290</v>
      </c>
      <c r="Z10" s="92" t="s">
        <v>290</v>
      </c>
      <c r="AA10" s="92" t="s">
        <v>290</v>
      </c>
      <c r="AB10" s="92" t="s">
        <v>290</v>
      </c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38">
        <f t="shared" si="0"/>
        <v>4</v>
      </c>
      <c r="AN10" s="36">
        <v>550</v>
      </c>
      <c r="AO10" s="36">
        <f t="shared" si="1"/>
        <v>2200</v>
      </c>
    </row>
    <row r="11" spans="2:41" s="23" customFormat="1" ht="16.2" customHeight="1" x14ac:dyDescent="0.3">
      <c r="B11" s="73">
        <v>7</v>
      </c>
      <c r="C11" s="10" t="s">
        <v>653</v>
      </c>
      <c r="D11" s="20"/>
      <c r="E11" s="43" t="s">
        <v>651</v>
      </c>
      <c r="F11" s="43" t="s">
        <v>652</v>
      </c>
      <c r="G11" s="10" t="s">
        <v>1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 t="s">
        <v>290</v>
      </c>
      <c r="Z11" s="92" t="s">
        <v>290</v>
      </c>
      <c r="AA11" s="92" t="s">
        <v>290</v>
      </c>
      <c r="AB11" s="92" t="s">
        <v>290</v>
      </c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38">
        <f t="shared" si="0"/>
        <v>4</v>
      </c>
      <c r="AN11" s="36">
        <v>550</v>
      </c>
      <c r="AO11" s="36">
        <f t="shared" si="1"/>
        <v>2200</v>
      </c>
    </row>
    <row r="12" spans="2:41" s="23" customFormat="1" ht="16.2" customHeight="1" x14ac:dyDescent="0.3">
      <c r="B12" s="73">
        <v>8</v>
      </c>
      <c r="C12" s="110" t="s">
        <v>298</v>
      </c>
      <c r="D12" s="20"/>
      <c r="E12" s="21" t="s">
        <v>296</v>
      </c>
      <c r="F12" s="21" t="s">
        <v>297</v>
      </c>
      <c r="G12" s="10" t="s">
        <v>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 t="s">
        <v>48</v>
      </c>
      <c r="S12" s="9" t="s">
        <v>48</v>
      </c>
      <c r="T12" s="9" t="s">
        <v>48</v>
      </c>
      <c r="U12" s="9" t="s">
        <v>48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38">
        <f t="shared" si="0"/>
        <v>4</v>
      </c>
      <c r="AN12" s="36">
        <v>550</v>
      </c>
      <c r="AO12" s="36">
        <f t="shared" si="1"/>
        <v>2200</v>
      </c>
    </row>
    <row r="13" spans="2:41" s="23" customFormat="1" ht="16.2" customHeight="1" x14ac:dyDescent="0.3">
      <c r="B13" s="73">
        <v>9</v>
      </c>
      <c r="C13" s="173" t="s">
        <v>233</v>
      </c>
      <c r="D13" s="20"/>
      <c r="E13" s="42" t="s">
        <v>234</v>
      </c>
      <c r="F13" s="42" t="s">
        <v>235</v>
      </c>
      <c r="G13" s="10" t="s">
        <v>1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 t="s">
        <v>48</v>
      </c>
      <c r="S13" s="92" t="s">
        <v>48</v>
      </c>
      <c r="T13" s="92" t="s">
        <v>48</v>
      </c>
      <c r="U13" s="92" t="s">
        <v>48</v>
      </c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38">
        <f t="shared" si="0"/>
        <v>4</v>
      </c>
      <c r="AN13" s="36">
        <v>550</v>
      </c>
      <c r="AO13" s="36">
        <f t="shared" si="1"/>
        <v>2200</v>
      </c>
    </row>
    <row r="14" spans="2:41" s="23" customFormat="1" ht="16.2" customHeight="1" x14ac:dyDescent="0.3">
      <c r="B14" s="73">
        <v>10</v>
      </c>
      <c r="C14" s="173" t="s">
        <v>447</v>
      </c>
      <c r="D14" s="20"/>
      <c r="E14" s="42" t="s">
        <v>446</v>
      </c>
      <c r="F14" s="42" t="s">
        <v>418</v>
      </c>
      <c r="G14" s="10" t="s">
        <v>1</v>
      </c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 t="s">
        <v>48</v>
      </c>
      <c r="S14" s="92" t="s">
        <v>48</v>
      </c>
      <c r="T14" s="92" t="s">
        <v>48</v>
      </c>
      <c r="U14" s="92" t="s">
        <v>48</v>
      </c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38">
        <f t="shared" si="0"/>
        <v>4</v>
      </c>
      <c r="AN14" s="36">
        <v>550</v>
      </c>
      <c r="AO14" s="36">
        <f t="shared" si="1"/>
        <v>2200</v>
      </c>
    </row>
    <row r="15" spans="2:41" s="23" customFormat="1" ht="16.2" customHeight="1" x14ac:dyDescent="0.3">
      <c r="B15" s="73">
        <v>11</v>
      </c>
      <c r="C15" s="10" t="s">
        <v>454</v>
      </c>
      <c r="D15" s="20"/>
      <c r="E15" s="43" t="s">
        <v>596</v>
      </c>
      <c r="F15" s="43" t="s">
        <v>385</v>
      </c>
      <c r="G15" s="10" t="s">
        <v>1</v>
      </c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 t="s">
        <v>48</v>
      </c>
      <c r="S15" s="92" t="s">
        <v>48</v>
      </c>
      <c r="T15" s="92" t="s">
        <v>48</v>
      </c>
      <c r="U15" s="92" t="s">
        <v>48</v>
      </c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38">
        <f t="shared" si="0"/>
        <v>4</v>
      </c>
      <c r="AN15" s="36">
        <v>550</v>
      </c>
      <c r="AO15" s="36">
        <f t="shared" si="1"/>
        <v>2200</v>
      </c>
    </row>
    <row r="16" spans="2:41" s="23" customFormat="1" ht="16.2" customHeight="1" x14ac:dyDescent="0.3">
      <c r="B16" s="73">
        <v>12</v>
      </c>
      <c r="C16" s="117" t="s">
        <v>798</v>
      </c>
      <c r="D16" s="20"/>
      <c r="E16" s="43" t="s">
        <v>538</v>
      </c>
      <c r="F16" s="43" t="s">
        <v>539</v>
      </c>
      <c r="G16" s="10" t="s">
        <v>1</v>
      </c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 t="s">
        <v>48</v>
      </c>
      <c r="Z16" s="92" t="s">
        <v>48</v>
      </c>
      <c r="AA16" s="92" t="s">
        <v>48</v>
      </c>
      <c r="AB16" s="92" t="s">
        <v>48</v>
      </c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38">
        <f t="shared" si="0"/>
        <v>4</v>
      </c>
      <c r="AN16" s="36">
        <v>550</v>
      </c>
      <c r="AO16" s="36">
        <f t="shared" si="1"/>
        <v>2200</v>
      </c>
    </row>
    <row r="17" spans="2:41" s="23" customFormat="1" ht="16.2" customHeight="1" x14ac:dyDescent="0.3">
      <c r="B17" s="73">
        <v>13</v>
      </c>
      <c r="C17" s="10" t="s">
        <v>673</v>
      </c>
      <c r="D17" s="20"/>
      <c r="E17" s="43" t="s">
        <v>672</v>
      </c>
      <c r="F17" s="43" t="s">
        <v>577</v>
      </c>
      <c r="G17" s="10" t="s">
        <v>1</v>
      </c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 t="s">
        <v>48</v>
      </c>
      <c r="AG17" s="95" t="s">
        <v>48</v>
      </c>
      <c r="AH17" s="95" t="s">
        <v>48</v>
      </c>
      <c r="AI17" s="95" t="s">
        <v>48</v>
      </c>
      <c r="AJ17" s="95"/>
      <c r="AK17" s="95"/>
      <c r="AL17" s="95"/>
      <c r="AM17" s="38">
        <f t="shared" si="0"/>
        <v>4</v>
      </c>
      <c r="AN17" s="36">
        <v>550</v>
      </c>
      <c r="AO17" s="36">
        <f t="shared" si="1"/>
        <v>2200</v>
      </c>
    </row>
    <row r="18" spans="2:41" s="23" customFormat="1" ht="16.2" customHeight="1" x14ac:dyDescent="0.3">
      <c r="B18" s="73">
        <v>14</v>
      </c>
      <c r="C18" s="110" t="s">
        <v>675</v>
      </c>
      <c r="D18" s="20"/>
      <c r="E18" s="42" t="s">
        <v>674</v>
      </c>
      <c r="F18" s="42" t="s">
        <v>159</v>
      </c>
      <c r="G18" s="10" t="s">
        <v>1</v>
      </c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 t="s">
        <v>48</v>
      </c>
      <c r="AG18" s="95" t="s">
        <v>48</v>
      </c>
      <c r="AH18" s="95" t="s">
        <v>48</v>
      </c>
      <c r="AI18" s="95" t="s">
        <v>48</v>
      </c>
      <c r="AJ18" s="95"/>
      <c r="AK18" s="95"/>
      <c r="AL18" s="95"/>
      <c r="AM18" s="38">
        <f t="shared" si="0"/>
        <v>4</v>
      </c>
      <c r="AN18" s="36">
        <v>550</v>
      </c>
      <c r="AO18" s="36">
        <f t="shared" si="1"/>
        <v>2200</v>
      </c>
    </row>
    <row r="19" spans="2:41" s="23" customFormat="1" ht="16.2" customHeight="1" x14ac:dyDescent="0.3">
      <c r="B19" s="73">
        <v>15</v>
      </c>
      <c r="C19" s="10" t="s">
        <v>677</v>
      </c>
      <c r="D19" s="20"/>
      <c r="E19" s="43" t="s">
        <v>676</v>
      </c>
      <c r="F19" s="43" t="s">
        <v>232</v>
      </c>
      <c r="G19" s="10" t="s">
        <v>1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 t="s">
        <v>48</v>
      </c>
      <c r="AG19" s="95" t="s">
        <v>48</v>
      </c>
      <c r="AH19" s="95" t="s">
        <v>48</v>
      </c>
      <c r="AI19" s="95" t="s">
        <v>48</v>
      </c>
      <c r="AJ19" s="95"/>
      <c r="AK19" s="95"/>
      <c r="AL19" s="95"/>
      <c r="AM19" s="38">
        <f t="shared" si="0"/>
        <v>4</v>
      </c>
      <c r="AN19" s="36">
        <v>550</v>
      </c>
      <c r="AO19" s="36">
        <f t="shared" si="1"/>
        <v>2200</v>
      </c>
    </row>
    <row r="20" spans="2:41" s="23" customFormat="1" ht="16.2" customHeight="1" x14ac:dyDescent="0.3">
      <c r="B20" s="73">
        <v>16</v>
      </c>
      <c r="C20" s="113" t="s">
        <v>806</v>
      </c>
      <c r="D20" s="20"/>
      <c r="E20" s="43" t="s">
        <v>326</v>
      </c>
      <c r="F20" s="43" t="s">
        <v>678</v>
      </c>
      <c r="G20" s="10" t="s">
        <v>1</v>
      </c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 t="s">
        <v>48</v>
      </c>
      <c r="AG20" s="95" t="s">
        <v>48</v>
      </c>
      <c r="AH20" s="95" t="s">
        <v>48</v>
      </c>
      <c r="AI20" s="95" t="s">
        <v>48</v>
      </c>
      <c r="AJ20" s="95"/>
      <c r="AK20" s="95"/>
      <c r="AL20" s="95"/>
      <c r="AM20" s="38">
        <f t="shared" si="0"/>
        <v>4</v>
      </c>
      <c r="AN20" s="36">
        <v>550</v>
      </c>
      <c r="AO20" s="36">
        <f t="shared" si="1"/>
        <v>2200</v>
      </c>
    </row>
    <row r="21" spans="2:41" s="23" customFormat="1" ht="16.2" customHeight="1" x14ac:dyDescent="0.3">
      <c r="B21" s="73">
        <v>17</v>
      </c>
      <c r="C21" s="110" t="s">
        <v>349</v>
      </c>
      <c r="D21" s="20"/>
      <c r="E21" s="42" t="s">
        <v>291</v>
      </c>
      <c r="F21" s="42" t="s">
        <v>292</v>
      </c>
      <c r="G21" s="10" t="s">
        <v>1</v>
      </c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 t="s">
        <v>48</v>
      </c>
      <c r="Z21" s="92" t="s">
        <v>48</v>
      </c>
      <c r="AA21" s="92" t="s">
        <v>48</v>
      </c>
      <c r="AB21" s="92" t="s">
        <v>48</v>
      </c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38">
        <f t="shared" si="0"/>
        <v>4</v>
      </c>
      <c r="AN21" s="36">
        <v>550</v>
      </c>
      <c r="AO21" s="36">
        <f t="shared" si="1"/>
        <v>2200</v>
      </c>
    </row>
    <row r="22" spans="2:41" s="23" customFormat="1" ht="16.2" customHeight="1" x14ac:dyDescent="0.3">
      <c r="B22" s="73">
        <v>18</v>
      </c>
      <c r="C22" s="173" t="s">
        <v>401</v>
      </c>
      <c r="D22" s="20"/>
      <c r="E22" s="42" t="s">
        <v>399</v>
      </c>
      <c r="F22" s="42" t="s">
        <v>400</v>
      </c>
      <c r="G22" s="10" t="s">
        <v>1</v>
      </c>
      <c r="H22" s="91"/>
      <c r="I22" s="91"/>
      <c r="J22" s="91"/>
      <c r="K22" s="91" t="s">
        <v>48</v>
      </c>
      <c r="L22" s="91" t="s">
        <v>48</v>
      </c>
      <c r="M22" s="91" t="s">
        <v>48</v>
      </c>
      <c r="N22" s="91" t="s">
        <v>48</v>
      </c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 t="s">
        <v>290</v>
      </c>
      <c r="Z22" s="91" t="s">
        <v>290</v>
      </c>
      <c r="AA22" s="91" t="s">
        <v>290</v>
      </c>
      <c r="AB22" s="91" t="s">
        <v>290</v>
      </c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38">
        <f t="shared" si="0"/>
        <v>8</v>
      </c>
      <c r="AN22" s="36">
        <v>550</v>
      </c>
      <c r="AO22" s="36">
        <f t="shared" si="1"/>
        <v>4400</v>
      </c>
    </row>
    <row r="23" spans="2:41" s="23" customFormat="1" ht="16.2" customHeight="1" x14ac:dyDescent="0.3">
      <c r="B23" s="73">
        <v>19</v>
      </c>
      <c r="C23" s="110" t="s">
        <v>404</v>
      </c>
      <c r="D23" s="20"/>
      <c r="E23" s="42" t="s">
        <v>402</v>
      </c>
      <c r="F23" s="42" t="s">
        <v>403</v>
      </c>
      <c r="G23" s="10" t="s">
        <v>1</v>
      </c>
      <c r="H23" s="91"/>
      <c r="I23" s="91"/>
      <c r="J23" s="91"/>
      <c r="K23" s="91" t="s">
        <v>48</v>
      </c>
      <c r="L23" s="91" t="s">
        <v>48</v>
      </c>
      <c r="M23" s="91" t="s">
        <v>48</v>
      </c>
      <c r="N23" s="91" t="s">
        <v>48</v>
      </c>
      <c r="O23" s="91"/>
      <c r="P23" s="91"/>
      <c r="Q23" s="91"/>
      <c r="R23" s="91" t="s">
        <v>48</v>
      </c>
      <c r="S23" s="91" t="s">
        <v>48</v>
      </c>
      <c r="T23" s="91" t="s">
        <v>48</v>
      </c>
      <c r="U23" s="91" t="s">
        <v>48</v>
      </c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38">
        <f t="shared" si="0"/>
        <v>8</v>
      </c>
      <c r="AN23" s="36">
        <v>550</v>
      </c>
      <c r="AO23" s="36">
        <f t="shared" si="1"/>
        <v>4400</v>
      </c>
    </row>
    <row r="24" spans="2:41" s="23" customFormat="1" ht="16.2" customHeight="1" x14ac:dyDescent="0.3">
      <c r="B24" s="73">
        <v>20</v>
      </c>
      <c r="C24" s="110" t="s">
        <v>295</v>
      </c>
      <c r="D24" s="20"/>
      <c r="E24" s="42" t="s">
        <v>293</v>
      </c>
      <c r="F24" s="42" t="s">
        <v>294</v>
      </c>
      <c r="G24" s="10" t="s">
        <v>1</v>
      </c>
      <c r="H24" s="9"/>
      <c r="I24" s="9"/>
      <c r="J24" s="9"/>
      <c r="K24" s="9" t="s">
        <v>48</v>
      </c>
      <c r="L24" s="9" t="s">
        <v>48</v>
      </c>
      <c r="M24" s="9" t="s">
        <v>48</v>
      </c>
      <c r="N24" s="9" t="s">
        <v>48</v>
      </c>
      <c r="O24" s="9"/>
      <c r="P24" s="9"/>
      <c r="Q24" s="9"/>
      <c r="R24" s="9" t="s">
        <v>48</v>
      </c>
      <c r="S24" s="9" t="s">
        <v>48</v>
      </c>
      <c r="T24" s="9" t="s">
        <v>48</v>
      </c>
      <c r="U24" s="9" t="s">
        <v>48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38">
        <f t="shared" si="0"/>
        <v>8</v>
      </c>
      <c r="AN24" s="36">
        <v>550</v>
      </c>
      <c r="AO24" s="36">
        <f t="shared" si="1"/>
        <v>4400</v>
      </c>
    </row>
    <row r="25" spans="2:41" s="23" customFormat="1" ht="16.2" customHeight="1" x14ac:dyDescent="0.3">
      <c r="B25" s="128" t="s">
        <v>15</v>
      </c>
      <c r="C25" s="128"/>
      <c r="D25" s="128"/>
      <c r="E25" s="128"/>
      <c r="F25" s="128"/>
      <c r="G25" s="128"/>
      <c r="H25" s="12">
        <f>COUNTIF(H3:H24,"P")+COUNTIF(H3:H24,"PP")+COUNTIF(H3:H24,"PP")</f>
        <v>0</v>
      </c>
      <c r="I25" s="12">
        <f t="shared" ref="I25:AL25" si="2">COUNTIF(I3:I24,"P")+COUNTIF(I3:I24,"PP")+COUNTIF(I3:I24,"PP")</f>
        <v>0</v>
      </c>
      <c r="J25" s="12">
        <f t="shared" si="2"/>
        <v>0</v>
      </c>
      <c r="K25" s="12">
        <f t="shared" si="2"/>
        <v>7</v>
      </c>
      <c r="L25" s="12">
        <f t="shared" si="2"/>
        <v>7</v>
      </c>
      <c r="M25" s="12">
        <f t="shared" si="2"/>
        <v>7</v>
      </c>
      <c r="N25" s="12">
        <f t="shared" si="2"/>
        <v>7</v>
      </c>
      <c r="O25" s="12">
        <f t="shared" si="2"/>
        <v>0</v>
      </c>
      <c r="P25" s="12">
        <f t="shared" si="2"/>
        <v>0</v>
      </c>
      <c r="Q25" s="12">
        <f t="shared" si="2"/>
        <v>0</v>
      </c>
      <c r="R25" s="12">
        <f t="shared" si="2"/>
        <v>7</v>
      </c>
      <c r="S25" s="12">
        <f t="shared" si="2"/>
        <v>7</v>
      </c>
      <c r="T25" s="12">
        <f t="shared" si="2"/>
        <v>7</v>
      </c>
      <c r="U25" s="12">
        <f t="shared" si="2"/>
        <v>7</v>
      </c>
      <c r="V25" s="12">
        <f t="shared" si="2"/>
        <v>0</v>
      </c>
      <c r="W25" s="12">
        <f t="shared" si="2"/>
        <v>0</v>
      </c>
      <c r="X25" s="12">
        <f t="shared" si="2"/>
        <v>0</v>
      </c>
      <c r="Y25" s="12">
        <f t="shared" si="2"/>
        <v>7</v>
      </c>
      <c r="Z25" s="12">
        <f t="shared" si="2"/>
        <v>7</v>
      </c>
      <c r="AA25" s="12">
        <f t="shared" si="2"/>
        <v>7</v>
      </c>
      <c r="AB25" s="12">
        <f t="shared" si="2"/>
        <v>7</v>
      </c>
      <c r="AC25" s="12">
        <f t="shared" si="2"/>
        <v>0</v>
      </c>
      <c r="AD25" s="12">
        <f t="shared" si="2"/>
        <v>0</v>
      </c>
      <c r="AE25" s="12">
        <f t="shared" si="2"/>
        <v>0</v>
      </c>
      <c r="AF25" s="12">
        <f t="shared" si="2"/>
        <v>5</v>
      </c>
      <c r="AG25" s="12">
        <f t="shared" si="2"/>
        <v>5</v>
      </c>
      <c r="AH25" s="12">
        <f t="shared" si="2"/>
        <v>5</v>
      </c>
      <c r="AI25" s="12">
        <f t="shared" si="2"/>
        <v>5</v>
      </c>
      <c r="AJ25" s="12">
        <f t="shared" si="2"/>
        <v>0</v>
      </c>
      <c r="AK25" s="12">
        <f t="shared" si="2"/>
        <v>0</v>
      </c>
      <c r="AL25" s="12">
        <f t="shared" si="2"/>
        <v>0</v>
      </c>
      <c r="AM25" s="39">
        <f>SUM(AM5:AM24)</f>
        <v>104</v>
      </c>
      <c r="AO25" s="37">
        <f>SUM(AO5:AO24)</f>
        <v>58000</v>
      </c>
    </row>
  </sheetData>
  <mergeCells count="5">
    <mergeCell ref="B2:AM2"/>
    <mergeCell ref="B3:AM3"/>
    <mergeCell ref="B25:G25"/>
    <mergeCell ref="AN2:AN4"/>
    <mergeCell ref="AO2:AO4"/>
  </mergeCells>
  <conditionalFormatting sqref="C3">
    <cfRule type="duplicateValues" dxfId="15" priority="18"/>
  </conditionalFormatting>
  <conditionalFormatting sqref="C4">
    <cfRule type="duplicateValues" dxfId="14" priority="19"/>
  </conditionalFormatting>
  <conditionalFormatting sqref="C5:F5">
    <cfRule type="duplicateValues" dxfId="13" priority="16"/>
  </conditionalFormatting>
  <conditionalFormatting sqref="C7:F7">
    <cfRule type="duplicateValues" dxfId="12" priority="11"/>
  </conditionalFormatting>
  <conditionalFormatting sqref="C8:F8">
    <cfRule type="duplicateValues" dxfId="11" priority="12"/>
  </conditionalFormatting>
  <conditionalFormatting sqref="H3:AL24">
    <cfRule type="cellIs" dxfId="10" priority="17" operator="equal">
      <formula>"a"</formula>
    </cfRule>
  </conditionalFormatting>
  <conditionalFormatting sqref="C24:F24">
    <cfRule type="duplicateValues" dxfId="9" priority="1640"/>
  </conditionalFormatting>
  <conditionalFormatting sqref="C22:F23">
    <cfRule type="duplicateValues" dxfId="8" priority="1643"/>
  </conditionalFormatting>
  <conditionalFormatting sqref="C9:F11">
    <cfRule type="duplicateValues" dxfId="7" priority="1938"/>
  </conditionalFormatting>
  <conditionalFormatting sqref="C12:F15 C17:F21 D16:F16">
    <cfRule type="duplicateValues" dxfId="6" priority="1949"/>
  </conditionalFormatting>
  <conditionalFormatting sqref="C7:C15 C17:C24">
    <cfRule type="duplicateValues" dxfId="5" priority="1950"/>
  </conditionalFormatting>
  <conditionalFormatting sqref="C16">
    <cfRule type="duplicateValues" dxfId="4" priority="1"/>
  </conditionalFormatting>
  <conditionalFormatting sqref="C16">
    <cfRule type="duplicateValues" dxfId="3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1"/>
  <sheetViews>
    <sheetView workbookViewId="0">
      <selection activeCell="AL8" sqref="AL8"/>
    </sheetView>
  </sheetViews>
  <sheetFormatPr defaultRowHeight="14.4" x14ac:dyDescent="0.3"/>
  <cols>
    <col min="1" max="1" width="3.33203125" customWidth="1"/>
    <col min="2" max="2" width="4.5546875" customWidth="1"/>
    <col min="3" max="3" width="7.88671875" customWidth="1"/>
    <col min="4" max="5" width="18.109375" customWidth="1"/>
    <col min="6" max="6" width="9.88671875" customWidth="1"/>
    <col min="7" max="36" width="3.5546875" customWidth="1"/>
    <col min="37" max="37" width="4.6640625" customWidth="1"/>
    <col min="39" max="39" width="12.88671875" customWidth="1"/>
  </cols>
  <sheetData>
    <row r="2" spans="2:39" ht="18" customHeight="1" x14ac:dyDescent="0.3">
      <c r="B2" s="140" t="s">
        <v>493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</row>
    <row r="3" spans="2:39" ht="20.399999999999999" x14ac:dyDescent="0.3">
      <c r="B3" s="69" t="s">
        <v>466</v>
      </c>
      <c r="C3" s="69" t="s">
        <v>482</v>
      </c>
      <c r="D3" s="70" t="s">
        <v>483</v>
      </c>
      <c r="E3" s="70" t="s">
        <v>484</v>
      </c>
      <c r="F3" s="69" t="s">
        <v>485</v>
      </c>
      <c r="G3" s="69">
        <v>1</v>
      </c>
      <c r="H3" s="69">
        <v>2</v>
      </c>
      <c r="I3" s="69">
        <v>3</v>
      </c>
      <c r="J3" s="69">
        <v>4</v>
      </c>
      <c r="K3" s="69">
        <v>5</v>
      </c>
      <c r="L3" s="69">
        <v>6</v>
      </c>
      <c r="M3" s="69">
        <v>7</v>
      </c>
      <c r="N3" s="69">
        <v>8</v>
      </c>
      <c r="O3" s="69">
        <v>9</v>
      </c>
      <c r="P3" s="69">
        <v>10</v>
      </c>
      <c r="Q3" s="69">
        <v>11</v>
      </c>
      <c r="R3" s="69">
        <v>12</v>
      </c>
      <c r="S3" s="69">
        <v>13</v>
      </c>
      <c r="T3" s="69">
        <v>14</v>
      </c>
      <c r="U3" s="69">
        <v>15</v>
      </c>
      <c r="V3" s="69">
        <v>16</v>
      </c>
      <c r="W3" s="69">
        <v>17</v>
      </c>
      <c r="X3" s="69">
        <v>18</v>
      </c>
      <c r="Y3" s="69">
        <v>19</v>
      </c>
      <c r="Z3" s="69">
        <v>20</v>
      </c>
      <c r="AA3" s="69">
        <v>21</v>
      </c>
      <c r="AB3" s="69">
        <v>22</v>
      </c>
      <c r="AC3" s="69">
        <v>23</v>
      </c>
      <c r="AD3" s="69">
        <v>24</v>
      </c>
      <c r="AE3" s="69">
        <v>25</v>
      </c>
      <c r="AF3" s="69">
        <v>26</v>
      </c>
      <c r="AG3" s="69">
        <v>27</v>
      </c>
      <c r="AH3" s="69">
        <v>28</v>
      </c>
      <c r="AI3" s="69">
        <v>29</v>
      </c>
      <c r="AJ3" s="69">
        <v>30</v>
      </c>
      <c r="AK3" s="71" t="s">
        <v>486</v>
      </c>
      <c r="AL3" s="77" t="s">
        <v>471</v>
      </c>
      <c r="AM3" s="78" t="s">
        <v>468</v>
      </c>
    </row>
    <row r="4" spans="2:39" s="25" customFormat="1" ht="18" customHeight="1" x14ac:dyDescent="0.3">
      <c r="B4" s="73">
        <v>1</v>
      </c>
      <c r="C4" s="10">
        <v>33528</v>
      </c>
      <c r="D4" s="20" t="s">
        <v>387</v>
      </c>
      <c r="E4" s="20" t="s">
        <v>388</v>
      </c>
      <c r="F4" s="74" t="s">
        <v>487</v>
      </c>
      <c r="G4" s="10" t="s">
        <v>48</v>
      </c>
      <c r="H4" s="10" t="s">
        <v>48</v>
      </c>
      <c r="I4" s="10" t="s">
        <v>48</v>
      </c>
      <c r="J4" s="10" t="s">
        <v>48</v>
      </c>
      <c r="K4" s="10" t="s">
        <v>48</v>
      </c>
      <c r="L4" s="10"/>
      <c r="M4" s="10" t="s">
        <v>48</v>
      </c>
      <c r="N4" s="10" t="s">
        <v>48</v>
      </c>
      <c r="O4" s="10" t="s">
        <v>48</v>
      </c>
      <c r="P4" s="10" t="s">
        <v>48</v>
      </c>
      <c r="Q4" s="10" t="s">
        <v>48</v>
      </c>
      <c r="R4" s="10" t="s">
        <v>48</v>
      </c>
      <c r="S4" s="10" t="s">
        <v>48</v>
      </c>
      <c r="T4" s="10" t="s">
        <v>48</v>
      </c>
      <c r="U4" s="10" t="s">
        <v>48</v>
      </c>
      <c r="V4" s="10" t="s">
        <v>48</v>
      </c>
      <c r="W4" s="10" t="s">
        <v>48</v>
      </c>
      <c r="X4" s="10" t="s">
        <v>48</v>
      </c>
      <c r="Y4" s="10"/>
      <c r="Z4" s="10" t="s">
        <v>48</v>
      </c>
      <c r="AA4" s="10" t="s">
        <v>48</v>
      </c>
      <c r="AB4" s="10" t="s">
        <v>48</v>
      </c>
      <c r="AC4" s="10" t="s">
        <v>48</v>
      </c>
      <c r="AD4" s="10" t="s">
        <v>48</v>
      </c>
      <c r="AE4" s="10" t="s">
        <v>48</v>
      </c>
      <c r="AF4" s="10" t="s">
        <v>48</v>
      </c>
      <c r="AG4" s="10" t="s">
        <v>48</v>
      </c>
      <c r="AH4" s="10" t="s">
        <v>48</v>
      </c>
      <c r="AI4" s="10" t="s">
        <v>48</v>
      </c>
      <c r="AJ4" s="10" t="s">
        <v>48</v>
      </c>
      <c r="AK4" s="76">
        <f t="shared" ref="AK4:AK10" si="0">COUNTIF(G4:AJ4,"P")</f>
        <v>28</v>
      </c>
      <c r="AL4" s="81">
        <f>18000/30</f>
        <v>600</v>
      </c>
      <c r="AM4" s="80">
        <f>AL4*AK4</f>
        <v>16800</v>
      </c>
    </row>
    <row r="5" spans="2:39" s="25" customFormat="1" ht="18" customHeight="1" x14ac:dyDescent="0.3">
      <c r="B5" s="73">
        <v>2</v>
      </c>
      <c r="C5" s="10">
        <v>33820</v>
      </c>
      <c r="D5" s="20" t="s">
        <v>285</v>
      </c>
      <c r="E5" s="20" t="s">
        <v>359</v>
      </c>
      <c r="F5" s="74" t="s">
        <v>487</v>
      </c>
      <c r="G5" s="10" t="s">
        <v>48</v>
      </c>
      <c r="H5" s="10" t="s">
        <v>48</v>
      </c>
      <c r="I5" s="10" t="s">
        <v>48</v>
      </c>
      <c r="J5" s="10" t="s">
        <v>48</v>
      </c>
      <c r="K5" s="10" t="s">
        <v>48</v>
      </c>
      <c r="L5" s="10" t="s">
        <v>48</v>
      </c>
      <c r="M5" s="10" t="s">
        <v>48</v>
      </c>
      <c r="N5" s="10" t="s">
        <v>48</v>
      </c>
      <c r="O5" s="10" t="s">
        <v>48</v>
      </c>
      <c r="P5" s="10" t="s">
        <v>48</v>
      </c>
      <c r="Q5" s="10" t="s">
        <v>48</v>
      </c>
      <c r="R5" s="10" t="s">
        <v>48</v>
      </c>
      <c r="S5" s="10" t="s">
        <v>48</v>
      </c>
      <c r="T5" s="10" t="s">
        <v>48</v>
      </c>
      <c r="U5" s="10" t="s">
        <v>48</v>
      </c>
      <c r="V5" s="10" t="s">
        <v>48</v>
      </c>
      <c r="W5" s="10" t="s">
        <v>48</v>
      </c>
      <c r="X5" s="10" t="s">
        <v>48</v>
      </c>
      <c r="Y5" s="10" t="s">
        <v>48</v>
      </c>
      <c r="Z5" s="10" t="s">
        <v>48</v>
      </c>
      <c r="AA5" s="10" t="s">
        <v>48</v>
      </c>
      <c r="AB5" s="10" t="s">
        <v>48</v>
      </c>
      <c r="AC5" s="10" t="s">
        <v>48</v>
      </c>
      <c r="AD5" s="10" t="s">
        <v>48</v>
      </c>
      <c r="AE5" s="10" t="s">
        <v>48</v>
      </c>
      <c r="AF5" s="10" t="s">
        <v>48</v>
      </c>
      <c r="AG5" s="10" t="s">
        <v>48</v>
      </c>
      <c r="AH5" s="10" t="s">
        <v>48</v>
      </c>
      <c r="AI5" s="10" t="s">
        <v>48</v>
      </c>
      <c r="AJ5" s="10" t="s">
        <v>48</v>
      </c>
      <c r="AK5" s="76">
        <f t="shared" si="0"/>
        <v>30</v>
      </c>
      <c r="AL5" s="81">
        <f>18000/30</f>
        <v>600</v>
      </c>
      <c r="AM5" s="80">
        <f t="shared" ref="AM5:AM10" si="1">AL5*AK5</f>
        <v>18000</v>
      </c>
    </row>
    <row r="6" spans="2:39" s="25" customFormat="1" ht="18" customHeight="1" x14ac:dyDescent="0.3">
      <c r="B6" s="73">
        <v>3</v>
      </c>
      <c r="C6" s="10">
        <v>33845</v>
      </c>
      <c r="D6" s="20" t="s">
        <v>480</v>
      </c>
      <c r="E6" s="20" t="s">
        <v>481</v>
      </c>
      <c r="F6" s="74" t="s">
        <v>487</v>
      </c>
      <c r="G6" s="10" t="s">
        <v>48</v>
      </c>
      <c r="H6" s="10" t="s">
        <v>48</v>
      </c>
      <c r="I6" s="10" t="s">
        <v>48</v>
      </c>
      <c r="J6" s="10" t="s">
        <v>48</v>
      </c>
      <c r="K6" s="10" t="s">
        <v>48</v>
      </c>
      <c r="L6" s="10" t="s">
        <v>48</v>
      </c>
      <c r="M6" s="10" t="s">
        <v>48</v>
      </c>
      <c r="N6" s="10" t="s">
        <v>48</v>
      </c>
      <c r="O6" s="10" t="s">
        <v>48</v>
      </c>
      <c r="P6" s="10" t="s">
        <v>48</v>
      </c>
      <c r="Q6" s="10" t="s">
        <v>48</v>
      </c>
      <c r="R6" s="10" t="s">
        <v>48</v>
      </c>
      <c r="S6" s="10" t="s">
        <v>48</v>
      </c>
      <c r="T6" s="10" t="s">
        <v>48</v>
      </c>
      <c r="U6" s="10" t="s">
        <v>48</v>
      </c>
      <c r="V6" s="10" t="s">
        <v>48</v>
      </c>
      <c r="W6" s="10" t="s">
        <v>48</v>
      </c>
      <c r="X6" s="10" t="s">
        <v>48</v>
      </c>
      <c r="Y6" s="10" t="s">
        <v>48</v>
      </c>
      <c r="Z6" s="10" t="s">
        <v>48</v>
      </c>
      <c r="AA6" s="10" t="s">
        <v>48</v>
      </c>
      <c r="AB6" s="10" t="s">
        <v>48</v>
      </c>
      <c r="AC6" s="10" t="s">
        <v>48</v>
      </c>
      <c r="AD6" s="10" t="s">
        <v>48</v>
      </c>
      <c r="AE6" s="10" t="s">
        <v>48</v>
      </c>
      <c r="AF6" s="10" t="s">
        <v>48</v>
      </c>
      <c r="AG6" s="10" t="s">
        <v>48</v>
      </c>
      <c r="AH6" s="10" t="s">
        <v>48</v>
      </c>
      <c r="AI6" s="10" t="s">
        <v>48</v>
      </c>
      <c r="AJ6" s="10" t="s">
        <v>48</v>
      </c>
      <c r="AK6" s="76">
        <f t="shared" si="0"/>
        <v>30</v>
      </c>
      <c r="AL6" s="81">
        <f>18000/30</f>
        <v>600</v>
      </c>
      <c r="AM6" s="80">
        <f t="shared" si="1"/>
        <v>18000</v>
      </c>
    </row>
    <row r="7" spans="2:39" s="25" customFormat="1" ht="18" customHeight="1" x14ac:dyDescent="0.3">
      <c r="B7" s="73">
        <v>4</v>
      </c>
      <c r="C7" s="10" t="s">
        <v>704</v>
      </c>
      <c r="D7" s="20" t="s">
        <v>488</v>
      </c>
      <c r="E7" s="20" t="s">
        <v>73</v>
      </c>
      <c r="F7" s="74" t="s">
        <v>487</v>
      </c>
      <c r="G7" s="10" t="s">
        <v>48</v>
      </c>
      <c r="H7" s="10" t="s">
        <v>48</v>
      </c>
      <c r="I7" s="10" t="s">
        <v>48</v>
      </c>
      <c r="J7" s="10" t="s">
        <v>48</v>
      </c>
      <c r="K7" s="10" t="s">
        <v>48</v>
      </c>
      <c r="L7" s="10" t="s">
        <v>48</v>
      </c>
      <c r="M7" s="10" t="s">
        <v>48</v>
      </c>
      <c r="N7" s="10" t="s">
        <v>48</v>
      </c>
      <c r="O7" s="10" t="s">
        <v>48</v>
      </c>
      <c r="P7" s="10" t="s">
        <v>48</v>
      </c>
      <c r="Q7" s="10" t="s">
        <v>48</v>
      </c>
      <c r="R7" s="10" t="s">
        <v>48</v>
      </c>
      <c r="S7" s="10" t="s">
        <v>48</v>
      </c>
      <c r="T7" s="10" t="s">
        <v>48</v>
      </c>
      <c r="U7" s="10" t="s">
        <v>48</v>
      </c>
      <c r="V7" s="10" t="s">
        <v>48</v>
      </c>
      <c r="W7" s="10" t="s">
        <v>48</v>
      </c>
      <c r="X7" s="10" t="s">
        <v>48</v>
      </c>
      <c r="Y7" s="10" t="s">
        <v>48</v>
      </c>
      <c r="Z7" s="10" t="s">
        <v>48</v>
      </c>
      <c r="AA7" s="10" t="s">
        <v>48</v>
      </c>
      <c r="AB7" s="10" t="s">
        <v>48</v>
      </c>
      <c r="AC7" s="10" t="s">
        <v>48</v>
      </c>
      <c r="AD7" s="10" t="s">
        <v>48</v>
      </c>
      <c r="AE7" s="10" t="s">
        <v>48</v>
      </c>
      <c r="AF7" s="10" t="s">
        <v>48</v>
      </c>
      <c r="AG7" s="10" t="s">
        <v>48</v>
      </c>
      <c r="AH7" s="10" t="s">
        <v>48</v>
      </c>
      <c r="AI7" s="10" t="s">
        <v>48</v>
      </c>
      <c r="AJ7" s="10" t="s">
        <v>48</v>
      </c>
      <c r="AK7" s="76">
        <f t="shared" si="0"/>
        <v>30</v>
      </c>
      <c r="AL7" s="81">
        <f>15000/30</f>
        <v>500</v>
      </c>
      <c r="AM7" s="80">
        <f t="shared" si="1"/>
        <v>15000</v>
      </c>
    </row>
    <row r="8" spans="2:39" s="25" customFormat="1" ht="18" customHeight="1" x14ac:dyDescent="0.3">
      <c r="B8" s="73">
        <v>5</v>
      </c>
      <c r="C8" s="10" t="s">
        <v>703</v>
      </c>
      <c r="D8" s="20" t="s">
        <v>434</v>
      </c>
      <c r="E8" s="20" t="s">
        <v>368</v>
      </c>
      <c r="F8" s="74" t="s">
        <v>487</v>
      </c>
      <c r="G8" s="10" t="s">
        <v>48</v>
      </c>
      <c r="H8" s="10" t="s">
        <v>48</v>
      </c>
      <c r="I8" s="10" t="s">
        <v>48</v>
      </c>
      <c r="J8" s="10"/>
      <c r="K8" s="10"/>
      <c r="L8" s="10" t="s">
        <v>48</v>
      </c>
      <c r="M8" s="10" t="s">
        <v>48</v>
      </c>
      <c r="N8" s="10" t="s">
        <v>48</v>
      </c>
      <c r="O8" s="10"/>
      <c r="P8" s="10"/>
      <c r="Q8" s="10" t="s">
        <v>48</v>
      </c>
      <c r="R8" s="10" t="s">
        <v>48</v>
      </c>
      <c r="S8" s="10" t="s">
        <v>48</v>
      </c>
      <c r="T8" s="10"/>
      <c r="U8" s="10"/>
      <c r="V8" s="10" t="s">
        <v>48</v>
      </c>
      <c r="W8" s="10" t="s">
        <v>48</v>
      </c>
      <c r="X8" s="10" t="s">
        <v>48</v>
      </c>
      <c r="Y8" s="10"/>
      <c r="Z8" s="10"/>
      <c r="AA8" s="10" t="s">
        <v>48</v>
      </c>
      <c r="AB8" s="10" t="s">
        <v>48</v>
      </c>
      <c r="AC8" s="10" t="s">
        <v>48</v>
      </c>
      <c r="AD8" s="10" t="s">
        <v>48</v>
      </c>
      <c r="AE8" s="10"/>
      <c r="AF8" s="10" t="s">
        <v>48</v>
      </c>
      <c r="AG8" s="10" t="s">
        <v>48</v>
      </c>
      <c r="AH8" s="10" t="s">
        <v>48</v>
      </c>
      <c r="AI8" s="10" t="s">
        <v>48</v>
      </c>
      <c r="AJ8" s="10"/>
      <c r="AK8" s="76">
        <f t="shared" si="0"/>
        <v>20</v>
      </c>
      <c r="AL8" s="81">
        <f>15000/30</f>
        <v>500</v>
      </c>
      <c r="AM8" s="80">
        <f t="shared" si="1"/>
        <v>10000</v>
      </c>
    </row>
    <row r="9" spans="2:39" s="25" customFormat="1" ht="18" customHeight="1" x14ac:dyDescent="0.3">
      <c r="B9" s="73">
        <v>6</v>
      </c>
      <c r="C9" s="10" t="s">
        <v>817</v>
      </c>
      <c r="D9" s="20" t="s">
        <v>818</v>
      </c>
      <c r="E9" s="20" t="s">
        <v>819</v>
      </c>
      <c r="F9" s="74" t="s">
        <v>816</v>
      </c>
      <c r="G9" s="10" t="s">
        <v>48</v>
      </c>
      <c r="H9" s="10" t="s">
        <v>48</v>
      </c>
      <c r="I9" s="10" t="s">
        <v>48</v>
      </c>
      <c r="J9" s="10" t="s">
        <v>48</v>
      </c>
      <c r="K9" s="10" t="s">
        <v>48</v>
      </c>
      <c r="L9" s="10" t="s">
        <v>48</v>
      </c>
      <c r="M9" s="10" t="s">
        <v>48</v>
      </c>
      <c r="N9" s="10" t="s">
        <v>48</v>
      </c>
      <c r="O9" s="10" t="s">
        <v>48</v>
      </c>
      <c r="P9" s="10" t="s">
        <v>48</v>
      </c>
      <c r="Q9" s="10" t="s">
        <v>48</v>
      </c>
      <c r="R9" s="10" t="s">
        <v>48</v>
      </c>
      <c r="S9" s="10" t="s">
        <v>48</v>
      </c>
      <c r="T9" s="10" t="s">
        <v>48</v>
      </c>
      <c r="U9" s="10" t="s">
        <v>48</v>
      </c>
      <c r="V9" s="10" t="s">
        <v>48</v>
      </c>
      <c r="W9" s="10" t="s">
        <v>48</v>
      </c>
      <c r="X9" s="10" t="s">
        <v>48</v>
      </c>
      <c r="Y9" s="10" t="s">
        <v>48</v>
      </c>
      <c r="Z9" s="10" t="s">
        <v>48</v>
      </c>
      <c r="AA9" s="10" t="s">
        <v>48</v>
      </c>
      <c r="AB9" s="10" t="s">
        <v>48</v>
      </c>
      <c r="AC9" s="10" t="s">
        <v>48</v>
      </c>
      <c r="AD9" s="10" t="s">
        <v>48</v>
      </c>
      <c r="AE9" s="10" t="s">
        <v>48</v>
      </c>
      <c r="AF9" s="10" t="s">
        <v>48</v>
      </c>
      <c r="AG9" s="10" t="s">
        <v>48</v>
      </c>
      <c r="AH9" s="10" t="s">
        <v>48</v>
      </c>
      <c r="AI9" s="10" t="s">
        <v>48</v>
      </c>
      <c r="AJ9" s="10" t="s">
        <v>48</v>
      </c>
      <c r="AK9" s="76">
        <f t="shared" si="0"/>
        <v>30</v>
      </c>
      <c r="AL9" s="81">
        <f>16000/30</f>
        <v>533.33333333333337</v>
      </c>
      <c r="AM9" s="80">
        <f t="shared" si="1"/>
        <v>16000.000000000002</v>
      </c>
    </row>
    <row r="10" spans="2:39" s="25" customFormat="1" ht="18" customHeight="1" x14ac:dyDescent="0.3">
      <c r="B10" s="73">
        <v>7</v>
      </c>
      <c r="C10" s="10" t="s">
        <v>489</v>
      </c>
      <c r="D10" s="43" t="s">
        <v>490</v>
      </c>
      <c r="E10" s="43" t="s">
        <v>491</v>
      </c>
      <c r="F10" s="74" t="s">
        <v>487</v>
      </c>
      <c r="G10" s="10" t="s">
        <v>48</v>
      </c>
      <c r="H10" s="10" t="s">
        <v>48</v>
      </c>
      <c r="I10" s="10"/>
      <c r="J10" s="10" t="s">
        <v>48</v>
      </c>
      <c r="K10" s="10" t="s">
        <v>48</v>
      </c>
      <c r="L10" s="10" t="s">
        <v>48</v>
      </c>
      <c r="M10" s="10" t="s">
        <v>48</v>
      </c>
      <c r="N10" s="10" t="s">
        <v>48</v>
      </c>
      <c r="O10" s="10" t="s">
        <v>48</v>
      </c>
      <c r="P10" s="10" t="s">
        <v>48</v>
      </c>
      <c r="Q10" s="10" t="s">
        <v>48</v>
      </c>
      <c r="R10" s="10" t="s">
        <v>48</v>
      </c>
      <c r="S10" s="10" t="s">
        <v>48</v>
      </c>
      <c r="T10" s="10" t="s">
        <v>48</v>
      </c>
      <c r="U10" s="10" t="s">
        <v>48</v>
      </c>
      <c r="V10" s="10"/>
      <c r="W10" s="10" t="s">
        <v>48</v>
      </c>
      <c r="X10" s="10" t="s">
        <v>48</v>
      </c>
      <c r="Y10" s="10" t="s">
        <v>48</v>
      </c>
      <c r="Z10" s="10" t="s">
        <v>48</v>
      </c>
      <c r="AA10" s="10" t="s">
        <v>48</v>
      </c>
      <c r="AB10" s="10" t="s">
        <v>48</v>
      </c>
      <c r="AC10" s="10" t="s">
        <v>48</v>
      </c>
      <c r="AD10" s="10" t="s">
        <v>48</v>
      </c>
      <c r="AE10" s="10" t="s">
        <v>48</v>
      </c>
      <c r="AF10" s="10" t="s">
        <v>48</v>
      </c>
      <c r="AG10" s="10" t="s">
        <v>48</v>
      </c>
      <c r="AH10" s="10" t="s">
        <v>48</v>
      </c>
      <c r="AI10" s="10" t="s">
        <v>48</v>
      </c>
      <c r="AJ10" s="10" t="s">
        <v>48</v>
      </c>
      <c r="AK10" s="76">
        <f t="shared" si="0"/>
        <v>28</v>
      </c>
      <c r="AL10" s="81">
        <f>16000/30</f>
        <v>533.33333333333337</v>
      </c>
      <c r="AM10" s="80">
        <f t="shared" si="1"/>
        <v>14933.333333333334</v>
      </c>
    </row>
    <row r="11" spans="2:39" s="25" customFormat="1" ht="18" customHeight="1" x14ac:dyDescent="0.3">
      <c r="B11" s="137" t="s">
        <v>492</v>
      </c>
      <c r="C11" s="138"/>
      <c r="D11" s="138"/>
      <c r="E11" s="138"/>
      <c r="F11" s="139"/>
      <c r="G11" s="72">
        <f>COUNTIF(G4:G10,"P")</f>
        <v>7</v>
      </c>
      <c r="H11" s="72">
        <f t="shared" ref="H11:AJ11" si="2">COUNTIF(H4:H10,"P")</f>
        <v>7</v>
      </c>
      <c r="I11" s="72">
        <f t="shared" si="2"/>
        <v>6</v>
      </c>
      <c r="J11" s="72">
        <f t="shared" si="2"/>
        <v>6</v>
      </c>
      <c r="K11" s="72">
        <f t="shared" si="2"/>
        <v>6</v>
      </c>
      <c r="L11" s="72">
        <f t="shared" si="2"/>
        <v>6</v>
      </c>
      <c r="M11" s="72">
        <f t="shared" si="2"/>
        <v>7</v>
      </c>
      <c r="N11" s="72">
        <f t="shared" si="2"/>
        <v>7</v>
      </c>
      <c r="O11" s="72">
        <f t="shared" si="2"/>
        <v>6</v>
      </c>
      <c r="P11" s="72">
        <f t="shared" si="2"/>
        <v>6</v>
      </c>
      <c r="Q11" s="72">
        <f t="shared" si="2"/>
        <v>7</v>
      </c>
      <c r="R11" s="72">
        <f t="shared" si="2"/>
        <v>7</v>
      </c>
      <c r="S11" s="72">
        <f t="shared" si="2"/>
        <v>7</v>
      </c>
      <c r="T11" s="72">
        <f t="shared" si="2"/>
        <v>6</v>
      </c>
      <c r="U11" s="72">
        <f t="shared" si="2"/>
        <v>6</v>
      </c>
      <c r="V11" s="72">
        <f t="shared" si="2"/>
        <v>6</v>
      </c>
      <c r="W11" s="72">
        <f t="shared" si="2"/>
        <v>7</v>
      </c>
      <c r="X11" s="72">
        <f t="shared" si="2"/>
        <v>7</v>
      </c>
      <c r="Y11" s="72">
        <f t="shared" si="2"/>
        <v>5</v>
      </c>
      <c r="Z11" s="72">
        <f t="shared" si="2"/>
        <v>6</v>
      </c>
      <c r="AA11" s="72">
        <f t="shared" si="2"/>
        <v>7</v>
      </c>
      <c r="AB11" s="72">
        <f t="shared" si="2"/>
        <v>7</v>
      </c>
      <c r="AC11" s="72">
        <f t="shared" si="2"/>
        <v>7</v>
      </c>
      <c r="AD11" s="72">
        <f t="shared" si="2"/>
        <v>7</v>
      </c>
      <c r="AE11" s="72">
        <f t="shared" si="2"/>
        <v>6</v>
      </c>
      <c r="AF11" s="72">
        <f t="shared" si="2"/>
        <v>7</v>
      </c>
      <c r="AG11" s="72">
        <f t="shared" si="2"/>
        <v>7</v>
      </c>
      <c r="AH11" s="72">
        <f t="shared" si="2"/>
        <v>7</v>
      </c>
      <c r="AI11" s="72">
        <f t="shared" si="2"/>
        <v>7</v>
      </c>
      <c r="AJ11" s="72">
        <f t="shared" si="2"/>
        <v>6</v>
      </c>
      <c r="AK11" s="28">
        <f>SUM(AK4:AK10)</f>
        <v>196</v>
      </c>
      <c r="AM11" s="79">
        <f>SUM(AM4:AM10)</f>
        <v>108733.33333333333</v>
      </c>
    </row>
  </sheetData>
  <mergeCells count="2">
    <mergeCell ref="B11:F11"/>
    <mergeCell ref="B2:AM2"/>
  </mergeCells>
  <conditionalFormatting sqref="C4:C6">
    <cfRule type="duplicateValues" dxfId="2" priority="6"/>
  </conditionalFormatting>
  <conditionalFormatting sqref="C3">
    <cfRule type="duplicateValues" dxfId="1" priority="3"/>
  </conditionalFormatting>
  <conditionalFormatting sqref="C1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5"/>
  <sheetViews>
    <sheetView workbookViewId="0">
      <selection activeCell="O18" sqref="O18:O19"/>
    </sheetView>
  </sheetViews>
  <sheetFormatPr defaultRowHeight="14.4" x14ac:dyDescent="0.3"/>
  <cols>
    <col min="1" max="1" width="3.33203125" customWidth="1"/>
    <col min="2" max="2" width="4.6640625" customWidth="1"/>
    <col min="3" max="4" width="18.6640625" style="18" customWidth="1"/>
    <col min="5" max="5" width="5.5546875" customWidth="1"/>
    <col min="6" max="6" width="12" customWidth="1"/>
    <col min="7" max="7" width="14.6640625" customWidth="1"/>
    <col min="8" max="8" width="37.109375" customWidth="1"/>
    <col min="9" max="9" width="3.33203125" customWidth="1"/>
  </cols>
  <sheetData>
    <row r="2" spans="2:9" ht="18" customHeight="1" x14ac:dyDescent="0.3">
      <c r="B2" s="141" t="s">
        <v>8</v>
      </c>
      <c r="C2" s="141"/>
      <c r="D2" s="141"/>
      <c r="E2" s="141"/>
      <c r="F2" s="141"/>
      <c r="G2" s="141"/>
      <c r="H2" s="141"/>
    </row>
    <row r="3" spans="2:9" ht="18" customHeight="1" x14ac:dyDescent="0.3">
      <c r="B3" s="17" t="s">
        <v>10</v>
      </c>
      <c r="C3" s="17" t="s">
        <v>11</v>
      </c>
      <c r="D3" s="17" t="s">
        <v>12</v>
      </c>
      <c r="E3" s="17" t="s">
        <v>13</v>
      </c>
      <c r="F3" s="17" t="s">
        <v>9</v>
      </c>
      <c r="G3" s="17" t="s">
        <v>478</v>
      </c>
      <c r="H3" s="17" t="s">
        <v>17</v>
      </c>
    </row>
    <row r="4" spans="2:9" ht="16.2" customHeight="1" x14ac:dyDescent="0.3">
      <c r="B4" s="9">
        <v>1</v>
      </c>
      <c r="C4" s="9" t="s">
        <v>18</v>
      </c>
      <c r="D4" s="9" t="s">
        <v>32</v>
      </c>
      <c r="E4" s="82">
        <v>1</v>
      </c>
      <c r="F4" s="83">
        <f>'12422-21'!AL17</f>
        <v>90</v>
      </c>
      <c r="G4" s="84">
        <f>'12422-21'!AN17</f>
        <v>50400</v>
      </c>
      <c r="H4" s="83"/>
    </row>
    <row r="5" spans="2:9" ht="16.2" customHeight="1" x14ac:dyDescent="0.3">
      <c r="B5" s="9">
        <v>2</v>
      </c>
      <c r="C5" s="9" t="s">
        <v>19</v>
      </c>
      <c r="D5" s="146" t="s">
        <v>33</v>
      </c>
      <c r="E5" s="85">
        <v>1</v>
      </c>
      <c r="F5" s="83">
        <f>'14680-79'!AL24</f>
        <v>106</v>
      </c>
      <c r="G5" s="84">
        <f>'14680-79'!AN24</f>
        <v>61200</v>
      </c>
      <c r="H5" s="83"/>
      <c r="I5" s="142"/>
    </row>
    <row r="6" spans="2:9" ht="16.2" customHeight="1" x14ac:dyDescent="0.3">
      <c r="B6" s="9">
        <v>3</v>
      </c>
      <c r="C6" s="9" t="s">
        <v>19</v>
      </c>
      <c r="D6" s="147"/>
      <c r="E6" s="85">
        <v>2</v>
      </c>
      <c r="F6" s="83">
        <f>'14680-79'!AL52</f>
        <v>106</v>
      </c>
      <c r="G6" s="84">
        <f>'14680-79'!AN52</f>
        <v>60900</v>
      </c>
      <c r="H6" s="83"/>
      <c r="I6" s="142"/>
    </row>
    <row r="7" spans="2:9" ht="16.2" customHeight="1" x14ac:dyDescent="0.3">
      <c r="B7" s="9">
        <v>4</v>
      </c>
      <c r="C7" s="9" t="s">
        <v>20</v>
      </c>
      <c r="D7" s="9" t="s">
        <v>34</v>
      </c>
      <c r="E7" s="85">
        <v>1</v>
      </c>
      <c r="F7" s="83">
        <f>'12054-53'!AL24</f>
        <v>154</v>
      </c>
      <c r="G7" s="84">
        <f>'12054-53'!AN24</f>
        <v>85900</v>
      </c>
      <c r="H7" s="83"/>
      <c r="I7" s="142"/>
    </row>
    <row r="8" spans="2:9" ht="16.2" customHeight="1" x14ac:dyDescent="0.3">
      <c r="B8" s="9">
        <v>5</v>
      </c>
      <c r="C8" s="9" t="s">
        <v>21</v>
      </c>
      <c r="D8" s="9" t="s">
        <v>35</v>
      </c>
      <c r="E8" s="85">
        <v>1</v>
      </c>
      <c r="F8" s="158">
        <f>'22488-87'!AL19</f>
        <v>241</v>
      </c>
      <c r="G8" s="160">
        <f>'22488-87'!AN19</f>
        <v>134050</v>
      </c>
      <c r="H8" s="83"/>
      <c r="I8" s="143"/>
    </row>
    <row r="9" spans="2:9" ht="16.2" customHeight="1" x14ac:dyDescent="0.3">
      <c r="B9" s="9">
        <v>6</v>
      </c>
      <c r="C9" s="9" t="s">
        <v>22</v>
      </c>
      <c r="D9" s="145" t="s">
        <v>36</v>
      </c>
      <c r="E9" s="85">
        <v>1</v>
      </c>
      <c r="F9" s="83">
        <f>'14650-49'!AL27</f>
        <v>146</v>
      </c>
      <c r="G9" s="84">
        <f>'14650-49'!AN27</f>
        <v>81300</v>
      </c>
      <c r="H9" s="83"/>
      <c r="I9" s="144"/>
    </row>
    <row r="10" spans="2:9" ht="16.2" customHeight="1" x14ac:dyDescent="0.3">
      <c r="B10" s="9">
        <v>7</v>
      </c>
      <c r="C10" s="9" t="s">
        <v>22</v>
      </c>
      <c r="D10" s="145"/>
      <c r="E10" s="85">
        <v>2</v>
      </c>
      <c r="F10" s="83">
        <f>'14650-49'!AL55</f>
        <v>154</v>
      </c>
      <c r="G10" s="84">
        <f>'14650-49'!AN55</f>
        <v>85700</v>
      </c>
      <c r="H10" s="83"/>
      <c r="I10" s="144"/>
    </row>
    <row r="11" spans="2:9" ht="16.2" customHeight="1" x14ac:dyDescent="0.3">
      <c r="B11" s="9">
        <v>8</v>
      </c>
      <c r="C11" s="9" t="s">
        <v>23</v>
      </c>
      <c r="D11" s="145" t="s">
        <v>37</v>
      </c>
      <c r="E11" s="85">
        <v>1</v>
      </c>
      <c r="F11" s="83">
        <f>'14674-73'!AL32</f>
        <v>206</v>
      </c>
      <c r="G11" s="84">
        <f>'14674-73'!AN32</f>
        <v>115250</v>
      </c>
      <c r="H11" s="83"/>
      <c r="I11" s="144"/>
    </row>
    <row r="12" spans="2:9" ht="16.2" customHeight="1" x14ac:dyDescent="0.3">
      <c r="B12" s="9">
        <v>9</v>
      </c>
      <c r="C12" s="9" t="s">
        <v>23</v>
      </c>
      <c r="D12" s="145"/>
      <c r="E12" s="85">
        <v>2</v>
      </c>
      <c r="F12" s="83">
        <f>'14674-73'!AL65</f>
        <v>193</v>
      </c>
      <c r="G12" s="84">
        <f>'14674-73'!AN65</f>
        <v>106900</v>
      </c>
      <c r="H12" s="83"/>
      <c r="I12" s="16"/>
    </row>
    <row r="13" spans="2:9" ht="16.2" customHeight="1" x14ac:dyDescent="0.3">
      <c r="B13" s="9">
        <v>10</v>
      </c>
      <c r="C13" s="9" t="s">
        <v>24</v>
      </c>
      <c r="D13" s="145" t="s">
        <v>38</v>
      </c>
      <c r="E13" s="82">
        <v>1</v>
      </c>
      <c r="F13" s="158">
        <f>'12204-03'!AL24</f>
        <v>79</v>
      </c>
      <c r="G13" s="160">
        <f>'12204-03'!AN24</f>
        <v>56650</v>
      </c>
      <c r="H13" s="83"/>
    </row>
    <row r="14" spans="2:9" ht="16.2" customHeight="1" x14ac:dyDescent="0.3">
      <c r="B14" s="9">
        <v>11</v>
      </c>
      <c r="C14" s="9" t="s">
        <v>24</v>
      </c>
      <c r="D14" s="145"/>
      <c r="E14" s="82">
        <v>2</v>
      </c>
      <c r="F14" s="158">
        <f>'12204-03'!AL76</f>
        <v>412</v>
      </c>
      <c r="G14" s="160">
        <f>'12204-03'!AN76</f>
        <v>313600</v>
      </c>
      <c r="H14" s="83"/>
    </row>
    <row r="15" spans="2:9" ht="16.2" customHeight="1" x14ac:dyDescent="0.3">
      <c r="B15" s="9">
        <v>12</v>
      </c>
      <c r="C15" s="86" t="s">
        <v>25</v>
      </c>
      <c r="D15" s="9" t="s">
        <v>39</v>
      </c>
      <c r="E15" s="82">
        <v>1</v>
      </c>
      <c r="F15" s="83">
        <f>'04654-53'!AM10</f>
        <v>0</v>
      </c>
      <c r="G15" s="84">
        <f>'04654-53'!AO10</f>
        <v>0</v>
      </c>
      <c r="H15" s="83"/>
    </row>
    <row r="16" spans="2:9" ht="16.2" customHeight="1" x14ac:dyDescent="0.3">
      <c r="B16" s="9">
        <v>13</v>
      </c>
      <c r="C16" s="86" t="s">
        <v>26</v>
      </c>
      <c r="D16" s="146" t="s">
        <v>39</v>
      </c>
      <c r="E16" s="82">
        <v>1</v>
      </c>
      <c r="F16" s="83">
        <f>'04651-52'!AL20</f>
        <v>196</v>
      </c>
      <c r="G16" s="84">
        <f>'04651-52'!AN20</f>
        <v>112083.33333333333</v>
      </c>
      <c r="H16" s="83"/>
    </row>
    <row r="17" spans="2:9" ht="16.2" customHeight="1" x14ac:dyDescent="0.3">
      <c r="B17" s="9">
        <v>14</v>
      </c>
      <c r="C17" s="86" t="s">
        <v>26</v>
      </c>
      <c r="D17" s="147"/>
      <c r="E17" s="82">
        <v>2</v>
      </c>
      <c r="F17" s="83">
        <f>'04651-52'!AL42</f>
        <v>106</v>
      </c>
      <c r="G17" s="84">
        <f>'04651-52'!AN42</f>
        <v>58300</v>
      </c>
      <c r="H17" s="83"/>
    </row>
    <row r="18" spans="2:9" ht="16.2" customHeight="1" x14ac:dyDescent="0.3">
      <c r="B18" s="9">
        <v>15</v>
      </c>
      <c r="C18" s="9" t="s">
        <v>27</v>
      </c>
      <c r="D18" s="9" t="s">
        <v>40</v>
      </c>
      <c r="E18" s="82">
        <v>1</v>
      </c>
      <c r="F18" s="83">
        <f>'14628-27'!AL31</f>
        <v>126</v>
      </c>
      <c r="G18" s="84">
        <f>'14628-27'!AN31</f>
        <v>70000</v>
      </c>
      <c r="H18" s="83"/>
    </row>
    <row r="19" spans="2:9" ht="16.2" customHeight="1" x14ac:dyDescent="0.3">
      <c r="B19" s="9">
        <v>16</v>
      </c>
      <c r="C19" s="9" t="s">
        <v>28</v>
      </c>
      <c r="D19" s="9" t="s">
        <v>41</v>
      </c>
      <c r="E19" s="82">
        <v>1</v>
      </c>
      <c r="F19" s="83">
        <f>'14616-15'!AM15</f>
        <v>40</v>
      </c>
      <c r="G19" s="84">
        <f>'14616-15'!AO15</f>
        <v>22400</v>
      </c>
      <c r="H19" s="83"/>
      <c r="I19" s="143"/>
    </row>
    <row r="20" spans="2:9" ht="16.2" customHeight="1" x14ac:dyDescent="0.3">
      <c r="B20" s="9">
        <v>17</v>
      </c>
      <c r="C20" s="9" t="s">
        <v>29</v>
      </c>
      <c r="D20" s="9" t="s">
        <v>42</v>
      </c>
      <c r="E20" s="82">
        <v>1</v>
      </c>
      <c r="F20" s="83">
        <f>'12484-83'!AL19</f>
        <v>143</v>
      </c>
      <c r="G20" s="84">
        <f>'12484-83'!AN19</f>
        <v>80550</v>
      </c>
      <c r="H20" s="83"/>
      <c r="I20" s="144"/>
    </row>
    <row r="21" spans="2:9" ht="16.2" customHeight="1" x14ac:dyDescent="0.3">
      <c r="B21" s="9">
        <v>18</v>
      </c>
      <c r="C21" s="86" t="s">
        <v>30</v>
      </c>
      <c r="D21" s="9" t="s">
        <v>43</v>
      </c>
      <c r="E21" s="82">
        <v>1</v>
      </c>
      <c r="F21" s="83">
        <f>'04610-09'!AL25</f>
        <v>90</v>
      </c>
      <c r="G21" s="84">
        <f>'04610-09'!AN25</f>
        <v>50200</v>
      </c>
      <c r="H21" s="83"/>
    </row>
    <row r="22" spans="2:9" ht="16.2" customHeight="1" x14ac:dyDescent="0.3">
      <c r="B22" s="9">
        <v>19</v>
      </c>
      <c r="C22" s="86" t="s">
        <v>820</v>
      </c>
      <c r="D22" s="9" t="s">
        <v>43</v>
      </c>
      <c r="E22" s="82">
        <v>1</v>
      </c>
      <c r="F22" s="83">
        <f>'04624-23'!AL22</f>
        <v>115</v>
      </c>
      <c r="G22" s="84">
        <f>'04624-23'!AN22</f>
        <v>64400</v>
      </c>
      <c r="H22" s="83"/>
    </row>
    <row r="23" spans="2:9" ht="16.2" customHeight="1" x14ac:dyDescent="0.3">
      <c r="B23" s="9">
        <v>20</v>
      </c>
      <c r="C23" s="9" t="s">
        <v>31</v>
      </c>
      <c r="D23" s="9" t="s">
        <v>40</v>
      </c>
      <c r="E23" s="87">
        <v>1</v>
      </c>
      <c r="F23" s="159">
        <f>'14664-63'!AM25</f>
        <v>104</v>
      </c>
      <c r="G23" s="161">
        <f>'14664-63'!AO25</f>
        <v>58000</v>
      </c>
      <c r="H23" s="87"/>
    </row>
    <row r="24" spans="2:9" ht="16.2" customHeight="1" x14ac:dyDescent="0.3">
      <c r="B24" s="9">
        <v>21</v>
      </c>
      <c r="C24" s="148" t="s">
        <v>479</v>
      </c>
      <c r="D24" s="149"/>
      <c r="E24" s="150"/>
      <c r="F24" s="85">
        <f>'OBHS Staff'!AK11</f>
        <v>196</v>
      </c>
      <c r="G24" s="161">
        <f>'OBHS Staff'!AM11</f>
        <v>108733.33333333333</v>
      </c>
      <c r="H24" s="88"/>
    </row>
    <row r="25" spans="2:9" ht="16.2" customHeight="1" x14ac:dyDescent="0.3">
      <c r="B25" s="134" t="s">
        <v>44</v>
      </c>
      <c r="C25" s="134"/>
      <c r="D25" s="134"/>
      <c r="E25" s="134"/>
      <c r="F25" s="89">
        <f>SUM(F4:F24)</f>
        <v>3003</v>
      </c>
      <c r="G25" s="36">
        <f>SUM(G4:G23)</f>
        <v>1667783.3333333333</v>
      </c>
      <c r="H25" s="90"/>
    </row>
  </sheetData>
  <mergeCells count="11">
    <mergeCell ref="B2:H2"/>
    <mergeCell ref="B25:E25"/>
    <mergeCell ref="I5:I7"/>
    <mergeCell ref="I8:I11"/>
    <mergeCell ref="I19:I20"/>
    <mergeCell ref="D13:D14"/>
    <mergeCell ref="D9:D10"/>
    <mergeCell ref="D11:D12"/>
    <mergeCell ref="D5:D6"/>
    <mergeCell ref="D16:D17"/>
    <mergeCell ref="C24:E24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2:D14"/>
  <sheetViews>
    <sheetView workbookViewId="0">
      <selection activeCell="G20" sqref="G20"/>
    </sheetView>
  </sheetViews>
  <sheetFormatPr defaultRowHeight="14.4" x14ac:dyDescent="0.3"/>
  <cols>
    <col min="3" max="3" width="15.33203125" bestFit="1" customWidth="1"/>
    <col min="4" max="4" width="16.44140625" bestFit="1" customWidth="1"/>
  </cols>
  <sheetData>
    <row r="12" spans="3:4" x14ac:dyDescent="0.3">
      <c r="C12" s="96"/>
      <c r="D12" s="96"/>
    </row>
    <row r="14" spans="3:4" x14ac:dyDescent="0.3">
      <c r="C14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Final Att.</vt:lpstr>
      <vt:lpstr>12054-53</vt:lpstr>
      <vt:lpstr>12422-21</vt:lpstr>
      <vt:lpstr>14680-79</vt:lpstr>
      <vt:lpstr>22488-87</vt:lpstr>
      <vt:lpstr>14650-49</vt:lpstr>
      <vt:lpstr>14674-73</vt:lpstr>
      <vt:lpstr>12204-03</vt:lpstr>
      <vt:lpstr>04654-53</vt:lpstr>
      <vt:lpstr>04651-52</vt:lpstr>
      <vt:lpstr>14616-15</vt:lpstr>
      <vt:lpstr>14628-27</vt:lpstr>
      <vt:lpstr>12484-83</vt:lpstr>
      <vt:lpstr>04610-09</vt:lpstr>
      <vt:lpstr>04624-23</vt:lpstr>
      <vt:lpstr>14632-31</vt:lpstr>
      <vt:lpstr>14664-63</vt:lpstr>
      <vt:lpstr>OBHS Staff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2026-07-08T11:57:01Z</dcterms:modified>
</cp:coreProperties>
</file>